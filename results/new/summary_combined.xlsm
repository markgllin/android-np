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lin2/Documents/school/CPSC641/project/android-np/results/new/"/>
    </mc:Choice>
  </mc:AlternateContent>
  <xr:revisionPtr revIDLastSave="0" documentId="13_ncr:1_{774DDC77-43EB-FD43-AF8E-7C1B2BCF6E88}" xr6:coauthVersionLast="43" xr6:coauthVersionMax="43" xr10:uidLastSave="{00000000-0000-0000-0000-000000000000}"/>
  <bookViews>
    <workbookView xWindow="20" yWindow="460" windowWidth="33600" windowHeight="19220" activeTab="2" xr2:uid="{00000000-000D-0000-FFFF-FFFF00000000}"/>
  </bookViews>
  <sheets>
    <sheet name="nongames_summary" sheetId="1" r:id="rId1"/>
    <sheet name="games_summary" sheetId="3" r:id="rId2"/>
    <sheet name="Sheet1" sheetId="2" r:id="rId3"/>
  </sheets>
  <definedNames>
    <definedName name="game_summary" localSheetId="1">games_summary!$A$1:$R$105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6" i="2" l="1"/>
  <c r="F35" i="2"/>
  <c r="C36" i="2"/>
  <c r="C35" i="2"/>
  <c r="AT37" i="2" l="1"/>
  <c r="AT36" i="2"/>
  <c r="K36" i="2"/>
  <c r="O36" i="2"/>
  <c r="AQ44" i="2"/>
  <c r="AC36" i="2"/>
  <c r="AH36" i="2"/>
  <c r="AP36" i="2"/>
  <c r="AP35" i="2"/>
  <c r="AH35" i="2"/>
  <c r="AC35" i="2"/>
  <c r="K35" i="2"/>
  <c r="O35" i="2"/>
  <c r="AQ48" i="2"/>
  <c r="AQ45" i="2"/>
  <c r="AQ49" i="2" s="1"/>
  <c r="AM38" i="2"/>
  <c r="AM39" i="2"/>
  <c r="AM40" i="2"/>
  <c r="AM41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8" i="2"/>
  <c r="AQ4" i="2"/>
  <c r="AM5" i="2"/>
  <c r="AM6" i="2"/>
  <c r="AM7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4" i="2"/>
  <c r="AD29" i="2"/>
  <c r="AI32" i="2"/>
  <c r="AI5" i="2"/>
  <c r="AI6" i="2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8" i="2"/>
  <c r="AI4" i="2"/>
  <c r="AH38" i="2"/>
  <c r="AH5" i="2"/>
  <c r="AH6" i="2"/>
  <c r="AH7" i="2"/>
  <c r="AH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4" i="2"/>
  <c r="AD38" i="2"/>
  <c r="AD39" i="2"/>
  <c r="AD40" i="2"/>
  <c r="AD41" i="2"/>
  <c r="AC38" i="2"/>
  <c r="AC39" i="2"/>
  <c r="AC40" i="2"/>
  <c r="AC41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C23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4" i="2"/>
  <c r="AC25" i="2"/>
  <c r="AC26" i="2"/>
  <c r="AC27" i="2"/>
  <c r="AC28" i="2"/>
  <c r="AC29" i="2"/>
  <c r="AC4" i="2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43" i="1"/>
  <c r="AM44" i="2" l="1"/>
  <c r="AM45" i="2" s="1"/>
  <c r="AS45" i="2" s="1"/>
  <c r="AM48" i="2"/>
  <c r="AM49" i="2" s="1"/>
  <c r="AS49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game_summary" type="6" refreshedVersion="6" background="1" saveData="1">
    <textPr sourceFile="/Users/marlin2/Documents/school/CPSC641/project/android-np/results/new/game_summary.csv" tab="0" comma="1">
      <textFields count="18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<sst xmlns="http://schemas.openxmlformats.org/spreadsheetml/2006/main" count="659" uniqueCount="241">
  <si>
    <t>Package Name</t>
  </si>
  <si>
    <t>Benign Domains</t>
  </si>
  <si>
    <t>Benign IPs</t>
  </si>
  <si>
    <t>Benign Traffic</t>
  </si>
  <si>
    <t>Ad Domains</t>
  </si>
  <si>
    <t>Ad IPs</t>
  </si>
  <si>
    <t>Ad Traffic</t>
  </si>
  <si>
    <t>Tracking Domains</t>
  </si>
  <si>
    <t>Tracking IPs</t>
  </si>
  <si>
    <t>Tracking Traffic</t>
  </si>
  <si>
    <t>Suspected Benign IPs</t>
  </si>
  <si>
    <t>Suspected Benign Traffic</t>
  </si>
  <si>
    <t>Suspected Ad Domains</t>
  </si>
  <si>
    <t>Suspected Ad IPs</t>
  </si>
  <si>
    <t>Suspected Ad Traffic</t>
  </si>
  <si>
    <t>Suspected Tracking Domains</t>
  </si>
  <si>
    <t>Suspected Tracking IPs</t>
  </si>
  <si>
    <t>Suspected Tracking Traffic</t>
  </si>
  <si>
    <t>com.mcdonalds.superapp.apk</t>
  </si>
  <si>
    <t>api.apptentive.com,www.dwin2.com,altb.marfeel.com,swag.taboola.com,d.annarbor.com,media.syracuse.com,config2.mparticle.com,t.p.mybuys.com,jobs.taboola.com,careers.taboola.com,cdn.connatix.com,prod.globalsign.map.fastly.net</t>
  </si>
  <si>
    <t>com.tubitv.apk</t>
  </si>
  <si>
    <t>images.adrise.tv,helpcenter.tubitv.com,link.tubi.tv</t>
  </si>
  <si>
    <t>ads.adrise.tv,cms.adrise.com,success.ensighten.com,help.mysearch.com,partnersupport.tapjoy.com,fluentd-support.treasuredata.com,l.longtailvideo.com,lp.longtailvideo.com,app.adjust.com,uapi.adrise.tv</t>
  </si>
  <si>
    <t>com.ubercab.apk</t>
  </si>
  <si>
    <t>166650.engine.mobileapptracking.com,e9ht.tlnk.io,23754.engine.mobileapptracking.com,285669.measurementapi.com,c1x-c.tlnk.io,fer-s.tlnk.io,3612.engine.mobileapptracking.com,189706.engine.mobileapptracking.com,21386.engine.mobileapptracking.com,253561.measurementapi.com,14640.engine.mobileapptracking.com,5094.engine.mobileapptracking.com,f7j-3.tlnk.io,189464.engine.mobileapptracking.com,190963.engine.mobileapptracking.com,hgb-s.tlnk.io,163572.engine.mobileapptracking.com,149636.measurementapi.com,186576.engine.mobileapptracking.com,9050.engine.mobileapptracking.com,1666.engine.mobileapptracking.com,76718.measurementapi.com,185862.engine.mobileapptracking.com,164936.engine.mobileapptracking.com,20336.engine.mobileapptracking.com,174126.measurementapi.com,175786.measurementapi.com,198163.measurementapi.com,5490.engine.mobileapptracking.com,21670.engine.mobileapptracking.com,189636.engine.mobileapptracking.com,4586.engine.mobileapptracking.com,162140.engine.mobileapptracking.com,117745.engine.mobileapptracking.com</t>
  </si>
  <si>
    <t>com.pinterest.apk</t>
  </si>
  <si>
    <t>www.tudoparatudo.com,2.gravatar.com,m.google.com,m.google.fr,help.target.com,getbootstrap.com</t>
  </si>
  <si>
    <t>pagead2.googlesyndication.com</t>
  </si>
  <si>
    <t>0.gravatar.com,pagead2.googlesyndication.com</t>
  </si>
  <si>
    <t>beacon.walmart.com,pixel1041.everesttech.net,pixel1739.everesttech.net,pixel1324.everesttech.net,pixel-user-1039.everesttech.net,pixel1370.everesttech.net,timeinc.demdex.net,twc.demdex.net,thecollegeboard.demdex.net,metrics.brightcove.com,dps.bing.com,778802.r.bat.bing.com,adserver.bing.com,c.bing.com,optout.33across.com,ml314.com,ado.pro-market.net,pbid.pro-market.net,ad.adtegrity.net,ad.rekket.com,ad.advertise.com,cookiex.ngd.yahoo.com,ads.yahoo.com,a1.adform.net,dmp.adform.net,x.bidswitch.net,www.ethn.io,beam.hlserve.com</t>
  </si>
  <si>
    <t>secure.gravatar.com,0.gravatar.com,ads.q1media.com,analytics.twitter.com,scribe.twitter.com,cdnjs.cloudflare.com</t>
  </si>
  <si>
    <t>com.amazon.mShop.android.shopping.apk</t>
  </si>
  <si>
    <t>aan.amazon.com</t>
  </si>
  <si>
    <t>com.facebook.katana.apk</t>
  </si>
  <si>
    <t>h.facebook.com</t>
  </si>
  <si>
    <t>com.snapchat.android.apk</t>
  </si>
  <si>
    <t>app-analytics.snapchat.com</t>
  </si>
  <si>
    <t>gcs.sc-cdn.net</t>
  </si>
  <si>
    <t>com.ebay.kijiji.ca.apk</t>
  </si>
  <si>
    <t>b.scorecardresearch.com</t>
  </si>
  <si>
    <t>cds.j3z9t3p6.hwcdn.net</t>
  </si>
  <si>
    <t>com.reddit.frontpage.apk</t>
  </si>
  <si>
    <t>com.google.android.play.games.apk</t>
  </si>
  <si>
    <t>com.facebook.orca.apk</t>
  </si>
  <si>
    <t>portal.fb.com</t>
  </si>
  <si>
    <t>com.amazon.avod.thirdpartyclient.apk</t>
  </si>
  <si>
    <t>com.google.android.apps.youtube.music.apk</t>
  </si>
  <si>
    <t>com.spotify.music.apk</t>
  </si>
  <si>
    <t>apresolve.spotify.com</t>
  </si>
  <si>
    <t>adeventtracker.spotify.com,log.spotify.com,analytics.spotify.com</t>
  </si>
  <si>
    <t>api-tv.spotify.com</t>
  </si>
  <si>
    <t>com.ncconsulting.skipthedishes_android.apk</t>
  </si>
  <si>
    <t>com.pelmorex.WeatherEyeAndroid.apk</t>
  </si>
  <si>
    <t>px.demdex.net</t>
  </si>
  <si>
    <t>myob.demdex.net,recruitrdc.demdex.net,herbalife.demdex.net,hdfclife.demdex.net,cbcca.demdex.net</t>
  </si>
  <si>
    <t>com.contextlogic.wish.apk</t>
  </si>
  <si>
    <t>4pl.routdata.com,www.forbes.com,b-i.forbesimg.com,www.w3.org,www.hypermail-project.org</t>
  </si>
  <si>
    <t>herrenausstatterde.widget.criteo.com,rdccobrand.widget.criteo.com,toptarifgasde.widget.criteo.com,hirmerde.widget.criteo.com,monsterzeugde.widget.criteo.com,dellbe.widget.criteo.com,microsoftstoreie.widget.criteo.com,euronicsde.widget.criteo.com,galaxyperfumeuk.widget.criteo.com,toptarifdslde.widget.criteo.com,accorde.widget.criteo.com,espritde.widget.criteo.com,onfonedk.widget.criteo.com,hollywoodschaukelde.widget.criteo.com,holidaytestde.widget.criteo.com,coolbluebe.widget.criteo.com,msccrociere.widget.criteo.com,conleysde.widget.criteo.com,zesoxde.widget.criteo.com,monsterde.widget.criteo.com,ogertoursde.widget.criteo.com,dis.criteo.com,nencinisportit.widget.criteo.com,momondodk.widget.criteo.com,sparhandyde.widget.criteo.com,sainsburysgm.widget.criteo.com,markenkofferde.widget.criteo.com,microsoftstorede.widget.criteo.com,jobvectorde.widget.criteo.com,t1cyclesde.widget.criteo.com,oakfurnitureland.widget.criteo.com,kasperskyse.widget.criteo.com,immonetde.widget.criteo.com,motoinde.widget.criteo.com,dreamlinesde.widget.criteo.com,kabeldeutschlandde.widget.criteo.com,adlermodede.widget.criteo.com,ludifr.widget.criteo.com,urbanarade.widget.criteo.com,mymmsde.widget.criteo.com,campeole.widget.criteo.com,hrsde.widget.criteo.com,e7mobilede.widget.criteo.com,kickzde.widget.criteo.com,dvdgoes.widget.criteo.com,ottode.widget.criteo.com,housetripde.widget.criteo.com,bbszenede.widget.criteo.com,klingelse.widget.criteo.com,travelmatch.widget.criteo.com,dis.sv.us.criteo.com,musicworldde.widget.criteo.com,autoworld.widget.criteo.com,sc24de.widget.criteo.com,manapremiere.widget.criteo.com,tuneclubde.widget.criteo.com,taschenkaufhausde.widget.criteo.com,microsoftstorese.widget.criteo.com,limangode.widget.criteo.com,kofferarenade.widget.criteo.com,jobsch.widget.criteo.com,ryanairhotelsie.widget.criteo.com,promovac.widget.criteo.com,psdhannoverde.widget.criteo.com,cyberportde.widget.criteo.com,interioraddictde.widget.criteo.com,elegancede.widget.criteo.com,lturde.widget.criteo.com,farfetchca.widget.criteo.com,lastminutestaedtede.widget.criteo.com,limangooutletde.widget.criteo.com,ebayitgb.widget.criteo.com,germanwingsde.widget.criteo.com,agodath.widget.criteo.com,dmlightsbe.widget.criteo.com,kofferprofide.widget.criteo.com,databeckerde.widget.criteo.com,mandmdirectde.widget.criteo.com,opodoeigenanreisede.widget.criteo.com,bbitaliait.widget.criteo.com,moebeleinsde.widget.criteo.com,moebelplusde.widget.criteo.com,holaes2.widget.criteo.com,homairvac.widget.criteo.com,asosde.widget.criteo.com,hostelbookersde.widget.criteo.com,myspexxde.widget.criteo.com,tele2se.widget.criteo.com,lafuma.widget.criteo.com,mexxde.widget.criteo.com,reisenfluegede.widget.criteo.com,eisde.widget.criteo.com,saturnde.widget.criteo.com,boxerse.widget.criteo.com,widget.sv.us.criteo.com,eckerlede.widget.criteo.com,verivoxde.widget.criteo.com,fcmotode.widget.criteo.com,douglasde.widget.criteo.com,planetsonofr.widget.criteo.com,mifcomde.widget.criteo.com,refinedlabsde.widget.criteo.com,booztde.widget.criteo.com,hotelde.widget.criteo.com,zalandode.widget.criteo.com,lenovode.widget.criteo.com,terrificde.widget.criteo.com,butlersde.widget.criteo.com,garminde.widget.criteo.com,olympshopde.widget.criteo.com,druckerzubehoerde.widget.criteo.com,billetreduc.widget.criteo.com,eurofernhochschulede.widget.criteo.com,juwelode.widget.criteo.com,toptarifde.widget.criteo.com,conleysch.widget.criteo.com,biallode.widget.criteo.com,shoppingde.widget.criteo.com,terresdaventurefr.widget.criteo.com,booking.widget.criteo.com,dellse.widget.criteo.com,ellosfi.widget.criteo.com,marktjagdde.widget.criteo.com,telelangue.widget.criteo.com,elektropointde.widget.criteo.com,sportbedarfde.widget.criteo.com,germanwearde.widget.criteo.com,gingarde.widget.criteo.com,angelabrudererch.widget.criteo.com,crabtreeandevelynuk.widget.criteo.com,tamarisde.widget.criteo.com,libride.widget.criteo.com,microsoftstorefi.widget.criteo.com,kupplungde.widget.criteo.com,zoovillagese.widget.criteo.com,o2freikarte.widget.criteo.com,drivenowde.widget.criteo.com,buldumbuldumtr.widget.criteo.com,conradchde.widget.criteo.com,fashionsistersde.widget.criteo.com,seventrendsde.widget.criteo.com,bettwarenshopde.widget.criteo.com,preisvergleichde.widget.criteo.com,eurogrand.widget.criteo.com,o2onlinede.widget.criteo.com,kleinezebrabe.widget.criteo.com,billigerde.widget.criteo.com,amexairfrance.widget.criteo.com,kabeldeutschlandtvde.widget.criteo.com,futuroscope.widget.criteo.com,landsendde.widget.criteo.com,friendscout24be.widget.criteo.com,snapfishde.widget.criteo.com,feriende.widget.criteo.com,kurbelixde.widget.criteo.com,tauchsportheinemannde.widget.criteo.com,just4mende.widget.criteo.com,travel24de.widget.criteo.com,laredoutese.widget.criteo.com,derhandwerksmeisterde.widget.criteo.com,happysizede.widget.criteo.com,lentillesmc.widget.criteo.com,spreadshirde.widget.criteo.com,royaldesignse.widget.criteo.com,electronicartsde.widget.criteo.com,tennistownde.widget.criteo.com,12804.widget.criteo.com,franzisde.widget.criteo.com,cdonse.widget.criteo.com,zalandochde.widget.criteo.com,automobili.widget.criteo.com,onedirect7710893.widget.criteo.com,crumplerde.widget.criteo.com,ebaykleinanzeigende.widget.criteo.com,ackermannch.widget.criteo.com,kraemerde.widget.criteo.com,autoscout24.widget.criteo.com,laredouteie.widget.criteo.com,nhabe.widget.criteo.com,ratedpeopleuk.widget.criteo.com,hm.baidu.com,aax-us.amazon-adsystem.com,aax.amazon-adsystem.com,justuno.com,scripttags.justuno.com,fast.forbes.com,ml314.com,px.ads.linkedin.com,dc.ads.linkedin.com,bizo.com,ap-southeast-1.dc.ads.linkedin.com,syndication.twitter.com,device.4seeresults.com,bam.nr-data.net,analytics.foresee.com,r66net.com,stats.cidehom.com,www.time-is-money.biz,www.mail-trafic.fr,www.digitaleez.fr,www.websitecenter.org</t>
  </si>
  <si>
    <t>secure.gravatar.com,0.gravatar.com</t>
  </si>
  <si>
    <t>com.sec.android.easyMover.apk</t>
  </si>
  <si>
    <t>com.facebook.mlite.apk</t>
  </si>
  <si>
    <t>ecg.move.ca.apk</t>
  </si>
  <si>
    <t>com.instagram.android.apk</t>
  </si>
  <si>
    <t>com.zhiliaoapp.musically.apk</t>
  </si>
  <si>
    <t>xlog-va.musical.ly,p16.muscdn.com,v19.muscdn.com,p16-sg.muscdn.com,v21.muscdn.com,v16.muscdn.com,p16-tiktokcdn-com.akamaized.net</t>
  </si>
  <si>
    <t>android.bugly.qq.com,monitor.uu.qq.com,tumblrprobes.cedexis.com,radar.cedexis.com,i1-js-14-3-01-13960-57801005-i.init.cedexis-radar.net,i1-j4-19-0-1-13960-2465639427-i.init.cedexis-radar.net,i1-js-14-3-01-13960-152038880-i.init.cedexis-radar.net,i1-js-14-3-01-13960-904132444-i.init.cedexis-radar.net,tumblrreports.cedexis.com,dyn-images.perfectaudience.com,dyn-ads.perfectaudience.com</t>
  </si>
  <si>
    <t>com.td.apk</t>
  </si>
  <si>
    <t>ad.adtegrity.net,ad.rekket.com,ad.advertise.com,cookiex.ngd.yahoo.com,ads.yahoo.com,sisalspa.demdex.net,samsung-germany.demdex.net,samsung-mena.demdex.net,newyorklife.demdex.net,pixel1041.everesttech.net,pixel1739.everesttech.net,pixel1324.everesttech.net,pixel-user-1039.everesttech.net,pixel1370.everesttech.net</t>
  </si>
  <si>
    <t>com.wayfair.wayfair.apk</t>
  </si>
  <si>
    <t>www.wayfair.com</t>
  </si>
  <si>
    <t>ads.foxnetworks.com,ads.bluelithium.com,ad.reachlocal.com,ad.reachjunction.com,ad.vcm.jp,ads.avazu.net,ad.technoratimedia.com,ad.adserverplus.com,cookiex.ngd.yahoo.com,dps.bing.com,778802.r.bat.bing.com,adserver.bing.com,c.bing.com,tr.snapchat.com,sp.analytics.yahoo.com,secure.adnxs.com,ad.retargeter.com,collector.a.pxi.pub,herrenausstatterde.widget.criteo.com,rdccobrand.widget.criteo.com,toptarifgasde.widget.criteo.com,hirmerde.widget.criteo.com,monsterzeugde.widget.criteo.com,dellbe.widget.criteo.com,microsoftstoreie.widget.criteo.com,euronicsde.widget.criteo.com,galaxyperfumeuk.widget.criteo.com,toptarifdslde.widget.criteo.com,accorde.widget.criteo.com,espritde.widget.criteo.com,onfonedk.widget.criteo.com,hollywoodschaukelde.widget.criteo.com,holidaytestde.widget.criteo.com,coolbluebe.widget.criteo.com,msccrociere.widget.criteo.com,conleysde.widget.criteo.com,zesoxde.widget.criteo.com,monsterde.widget.criteo.com,ogertoursde.widget.criteo.com,dis.criteo.com,nencinisportit.widget.criteo.com,momondodk.widget.criteo.com,sparhandyde.widget.criteo.com,sainsburysgm.widget.criteo.com,markenkofferde.widget.criteo.com,microsoftstorede.widget.criteo.com,jobvectorde.widget.criteo.com,t1cyclesde.widget.criteo.com,oakfurnitureland.widget.criteo.com,kasperskyse.widget.criteo.com,immonetde.widget.criteo.com,motoinde.widget.criteo.com,dreamlinesde.widget.criteo.com,kabeldeutschlandde.widget.criteo.com,adlermodede.widget.criteo.com,ludifr.widget.criteo.com,urbanarade.widget.criteo.com,mymmsde.widget.criteo.com,campeole.widget.criteo.com,hrsde.widget.criteo.com,e7mobilede.widget.criteo.com,kickzde.widget.criteo.com,dvdgoes.widget.criteo.com,ottode.widget.criteo.com,housetripde.widget.criteo.com,bbszenede.widget.criteo.com,klingelse.widget.criteo.com,travelmatch.widget.criteo.com,dis.sv.us.criteo.com,musicworldde.widget.criteo.com,autoworld.widget.criteo.com,sc24de.widget.criteo.com,manapremiere.widget.criteo.com,tuneclubde.widget.criteo.com,taschenkaufhausde.widget.criteo.com,microsoftstorese.widget.criteo.com,limangode.widget.criteo.com,kofferarenade.widget.criteo.com,jobsch.widget.criteo.com,ryanairhotelsie.widget.criteo.com,promovac.widget.criteo.com,psdhannoverde.widget.criteo.com,cyberportde.widget.criteo.com,interioraddictde.widget.criteo.com,elegancede.widget.criteo.com,lturde.widget.criteo.com,farfetchca.widget.criteo.com,lastminutestaedtede.widget.criteo.com,limangooutletde.widget.criteo.com,ebayitgb.widget.criteo.com,germanwingsde.widget.criteo.com,agodath.widget.criteo.com,dmlightsbe.widget.criteo.com,kofferprofide.widget.criteo.com,databeckerde.widget.criteo.com,mandmdirectde.widget.criteo.com,opodoeigenanreisede.widget.criteo.com,bbitaliait.widget.criteo.com,moebeleinsde.widget.criteo.com,moebelplusde.widget.criteo.com,holaes2.widget.criteo.com,homairvac.widget.criteo.com,asosde.widget.criteo.com,hostelbookersde.widget.criteo.com,myspexxde.widget.criteo.com,tele2se.widget.criteo.com,lafuma.widget.criteo.com,mexxde.widget.criteo.com,reisenfluegede.widget.criteo.com,eisde.widget.criteo.com,saturnde.widget.criteo.com,boxerse.widget.criteo.com,widget.sv.us.criteo.com,eckerlede.widget.criteo.com,verivoxde.widget.criteo.com,fcmotode.widget.criteo.com,douglasde.widget.criteo.com,planetsonofr.widget.criteo.com,mifcomde.widget.criteo.com,refinedlabsde.widget.criteo.com,booztde.widget.criteo.com,hotelde.widget.criteo.com,zalandode.widget.criteo.com,lenovode.widget.criteo.com,terrificde.widget.criteo.com,butlersde.widget.criteo.com,garminde.widget.criteo.com,olympshopde.widget.criteo.com,druckerzubehoerde.widget.criteo.com,billetreduc.widget.criteo.com,eurofernhochschulede.widget.criteo.com,juwelode.widget.criteo.com,toptarifde.widget.criteo.com,conleysch.widget.criteo.com,biallode.widget.criteo.com,shoppingde.widget.criteo.com,terresdaventurefr.widget.criteo.com,booking.widget.criteo.com,dellse.widget.criteo.com,ellosfi.widget.criteo.com,marktjagdde.widget.criteo.com,telelangue.widget.criteo.com,elektropointde.widget.criteo.com,sportbedarfde.widget.criteo.com,germanwearde.widget.criteo.com,gingarde.widget.criteo.com,angelabrudererch.widget.criteo.com,crabtreeandevelynuk.widget.criteo.com,tamarisde.widget.criteo.com,libride.widget.criteo.com,microsoftstorefi.widget.criteo.com,kupplungde.widget.criteo.com,zoovillagese.widget.criteo.com,o2freikarte.widget.criteo.com,drivenowde.widget.criteo.com,buldumbuldumtr.widget.criteo.com,conradchde.widget.criteo.com,fashionsistersde.widget.criteo.com,seventrendsde.widget.criteo.com,bettwarenshopde.widget.criteo.com,preisvergleichde.widget.criteo.com,eurogrand.widget.criteo.com,o2onlinede.widget.criteo.com,kleinezebrabe.widget.criteo.com,billigerde.widget.criteo.com,amexairfrance.widget.criteo.com,kabeldeutschlandtvde.widget.criteo.com,futuroscope.widget.criteo.com,landsendde.widget.criteo.com,friendscout24be.widget.criteo.com,snapfishde.widget.criteo.com,feriende.widget.criteo.com,kurbelixde.widget.criteo.com,tauchsportheinemannde.widget.criteo.com,just4mende.widget.criteo.com,travel24de.widget.criteo.com,laredoutese.widget.criteo.com,derhandwerksmeisterde.widget.criteo.com,happysizede.widget.criteo.com,lentillesmc.widget.criteo.com,spreadshirde.widget.criteo.com,royaldesignse.widget.criteo.com,electronicartsde.widget.criteo.com,tennistownde.widget.criteo.com,12804.widget.criteo.com,franzisde.widget.criteo.com,cdonse.widget.criteo.com,zalandochde.widget.criteo.com,automobili.widget.criteo.com,onedirect7710893.widget.criteo.com,crumplerde.widget.criteo.com,ebaykleinanzeigende.widget.criteo.com,ackermannch.widget.criteo.com,kraemerde.widget.criteo.com,autoscout24.widget.criteo.com,laredouteie.widget.criteo.com,nhabe.widget.criteo.com,ratedpeopleuk.widget.criteo.com,a1.adform.net,dmp.adform.net,20591617p.rfihub.com,20576991p.rfihub.com,ad.turn.com,log.outbrainimg.com,monitor.outbrain.com,rate.outbrain.com,amplifypixel.outbrain.com,x.bidswitch.net,smadvantage.demdex.net,freecharge.demdex.net,ad.adtegrity.net,ad.rekket.com,ad.advertise.com,ads.yahoo.com,ads.bing.com,a-0001.a-msedge.net,pippio.com,cp.adform.net,pixel-sync.sitescout.com,farm-de.plista.com,farm.plista.com,mcdp-sadc1.outbrain.com,www.segment.io,a2.adform.net,us.adform.net,qc.smartadserver.com,ww2837.smartadserver.com,ww2451.smartadserver.com,ww1972.smartadserver.com,ww38.smartadserver.com,ww489.smartadserver.com,ssp-csync.smartadserver.com,ww1692.smartadserver.com,ww1575.smartadserver.com,ww57.smartadserver.com,ww484.smartadserver.com,ww1703.smartadserver.com,20774675p.rfihub.com,sync.1rx.io,dsp.adfarm1.adition.com</t>
  </si>
  <si>
    <t>pixel-us-west.rubiconproject.com,ad.himediadx.com</t>
  </si>
  <si>
    <t>com.microsoft.office.outlook.apk</t>
  </si>
  <si>
    <t>analytics.query.yahoo.com,geo.query.yahoo.com,geo.yahoo.com,adiro.se,az416426.vo.msecnd.net</t>
  </si>
  <si>
    <t>gate.hockeyapp.net,events.data.microsoft.com</t>
  </si>
  <si>
    <t>com.whatsapp.apk</t>
  </si>
  <si>
    <t>com.flashfoodapp.android.apk</t>
  </si>
  <si>
    <t>www.dwin2.com,altb.marfeel.com,api.mixpanel.com</t>
  </si>
  <si>
    <t>com.bitstrips.imoji.apk</t>
  </si>
  <si>
    <t>digital.rbi.timhortons.apk</t>
  </si>
  <si>
    <t>swag.taboola.com,d.annarbor.com,app.adjust.com,trends.taboola.com,gallery.taboola.com</t>
  </si>
  <si>
    <t>ca.gc.ec.weather_app_android.ops.apk</t>
  </si>
  <si>
    <t>Overall Benign Ips</t>
  </si>
  <si>
    <t>Overall Benign Traffic</t>
  </si>
  <si>
    <t>Overall Ad Ips</t>
  </si>
  <si>
    <t>Overall Ad Traffic</t>
  </si>
  <si>
    <t>Overall Tracking Ips</t>
  </si>
  <si>
    <t>Overall Tracking Traffic</t>
  </si>
  <si>
    <t xml:space="preserve"> </t>
  </si>
  <si>
    <t xml:space="preserve">SUM </t>
  </si>
  <si>
    <t>OF</t>
  </si>
  <si>
    <t>HTTP</t>
  </si>
  <si>
    <t>AND</t>
  </si>
  <si>
    <t>HTTPS</t>
  </si>
  <si>
    <t>com.peoplefun.wordcross.apk</t>
  </si>
  <si>
    <t>com.youmusic.magictiles.apk</t>
  </si>
  <si>
    <t>52.71.9.24:1341,d25l8ybundaqcq.cloudfront.net,superpowered.com</t>
  </si>
  <si>
    <t>ecommerce.iap.unity3d.com,stats.unity3d.com,api.uca.cloud.unity3d.com,cdp.cloud.unity3d.com,stats.appsflyer.com,click-haproxy.supersonicads.com</t>
  </si>
  <si>
    <t>cds.s5x3j6q5.hwcdn.net</t>
  </si>
  <si>
    <t>com.luckyday.app.apk</t>
  </si>
  <si>
    <t>ads.mopub.com,mpx-dashboard.mopub.com,app.mopub.com</t>
  </si>
  <si>
    <t>ads.mopub.com</t>
  </si>
  <si>
    <t>com.love.poly.puzzle.game.apk</t>
  </si>
  <si>
    <t>survey1.umeng.com,ubdc2016.umeng.com,ocx.umeng.com,tip.umeng.com,msgapi.umeng.com,dev.umeng.com,beta.umeng.com,alogs.umeng.com,index.umeng.com,adplus.umeng.com,ulogs.umeng.com</t>
  </si>
  <si>
    <t>com.word.game.fun.puzzle.prison.escape.captain.apk</t>
  </si>
  <si>
    <t>trans.globalnetworkad.com,sda.wordgameplay.com,market.wordgameplay.com</t>
  </si>
  <si>
    <t>stats.unity3d.com,api.uca.cloud.unity3d.com,cdp.cloud.unity3d.com,config.uca.cloud.unity3d.com</t>
  </si>
  <si>
    <t>com.fullfat.bw.apk</t>
  </si>
  <si>
    <t>cdn.liftoff.io,impression-east.liftoff.io,stage-a.applovin.com</t>
  </si>
  <si>
    <t>ads.mopub.com,prod-a.applovin.com</t>
  </si>
  <si>
    <t>config.uca.cloud.unity3d.com,ecommerce.iap.unity3d.com,stats.unity3d.com,api.uca.cloud.unity3d.com,cdp.cloud.unity3d.com,analytics.mopub.com,adserver.mopub.com,track.tenjin.io,voxel.write.mongostats.mopub.com,cpp-test.imp.mpx.mopub.com,status.mopub.com,data-service.mopub.com,track.brmngr.com,app.appsflyer.com,newclicks.appsflyer.com,ads.mopub.com,mpx-dashboard.mopub.com,app.mopub.com</t>
  </si>
  <si>
    <t>com.roblox.client.apk</t>
  </si>
  <si>
    <t>az416426.vo.msecnd.net,partnersupport.tapjoy.com,fluentd-support.treasuredata.com,stats.appsflyer.com</t>
  </si>
  <si>
    <t>com.mindy.grap1.apk</t>
  </si>
  <si>
    <t>192.168.ss.xxxmyself.com,m.sancdn.net,counter.tldw.me,logger.snackly.co,192.168.cdn-a2.contentabc.com,cds.g8j8b9g6.hwcdn.net,cdn-highwinds.unityads.unity3d.com,cdn.mbp91.com,mdn1.phluantmobile.net,viamichelin.ss.xxxmyself.com,cdn.bttrack.com,errors.snackly.co,config.uca.cloud.unity3d.com,voxel.write.mongostats.mopub.com,cpp-test.imp.mpx.mopub.com,status.mopub.com,data-service.mopub.com,ecommerce.iap.unity3d.com,track.tenjin.io,stats.unity3d.com,api.uca.cloud.unity3d.com,cdp.cloud.unity3d.com,api-eu.gameanalytics.com,ads.mopub.com,mpx-dashboard.mopub.com,app.mopub.com,secure-ads.mopub.com,app2.mopub.com,voxel.read.mongostats.mopub.com,click-haproxy.supersonicads.com,api-us.gameanalytics.com,analytics.mopub.com,adserver.mopub.com</t>
  </si>
  <si>
    <t>api.gameanalytics.com,cds.s5x3j6q5.hwcdn.net</t>
  </si>
  <si>
    <t>com.amanotes.beathopper.apk</t>
  </si>
  <si>
    <t>192.168.ss.xxxmyself.com,m.sancdn.net,counter.tldw.me,logger.snackly.co,192.168.cdn-a2.contentabc.com,cds.g8j8b9g6.hwcdn.net,cdn-highwinds.unityads.unity3d.com,cdn.mbp91.com,mdn1.phluantmobile.net,viamichelin.ss.xxxmyself.com,cdn.bttrack.com,errors.snackly.co,stats.unity3d.com,api.uca.cloud.unity3d.com,cdp.cloud.unity3d.com,amigo-prod-07-b4811.firebaseio.com,blistering-torch-3604.firebaseio.com,s-usc1c-nss-218.firebaseio.com,click-haproxy.supersonicads.com</t>
  </si>
  <si>
    <t>com.playrix.gardenscapes.apk</t>
  </si>
  <si>
    <t>cds.s5x3j6q5.hwcdn.net,cdn.onesignal.com</t>
  </si>
  <si>
    <t>io.voodoo.holeio.apk</t>
  </si>
  <si>
    <t>adserver.vidcoin.com,cmp.vidcoin.com,cdn.liftoff.io,impression-east.liftoff.io</t>
  </si>
  <si>
    <t>voxel.write.mongostats.mopub.com,cpp-test.imp.mpx.mopub.com,status.mopub.com,data-service.mopub.com,track.tenjin.io,stats.unity3d.com,api.uca.cloud.unity3d.com,cdp.cloud.unity3d.com,p-v2.presage.io,secure-ads.mopub.com,app2.mopub.com,voxel.read.mongostats.mopub.com,geo.yahoo.com,api-eu.gameanalytics.com,mpx-dashboard.mopub.com,app.mopub.com,analytics.mopub.com,adserver.mopub.com,api.gameanalytics.com,click-haproxy.supersonicads.com,p5-lj5aujgj7jl7w-r2pmxqvndsgx2im2-931517-i1-v6exp3-v4.metric.gstatic.com</t>
  </si>
  <si>
    <t>cds.s5x3j6q5.hwcdn.net,api.gameanalytics.com</t>
  </si>
  <si>
    <t>com.matchington.mansion.apk</t>
  </si>
  <si>
    <t>stats.unity3d.com,api.uca.cloud.unity3d.com,cdp.cloud.unity3d.com</t>
  </si>
  <si>
    <t>com.playrix.township.apk</t>
  </si>
  <si>
    <t>drippler.helpshift.com</t>
  </si>
  <si>
    <t>com.colorup.game.apk</t>
  </si>
  <si>
    <t>config.uca.cloud.unity3d.com,p-v2.presage.io,ads.mopub.com,mpx-dashboard.mopub.com,app.mopub.com,stats.unity3d.com,api.uca.cloud.unity3d.com,cdp.cloud.unity3d.com,ecommerce.iap.unity3d.com,secure-ads.mopub.com,app2.mopub.com,voxel.read.mongostats.mopub.com,analytics.mopub.com,adserver.mopub.com,voxel.write.mongostats.mopub.com,cpp-test.imp.mpx.mopub.com,status.mopub.com,data-service.mopub.com</t>
  </si>
  <si>
    <t>cds.s5x3j6q5.hwcdn.net,analytics.twitter.com,scribe.twitter.com</t>
  </si>
  <si>
    <t>com.ohbibi.fps.apk</t>
  </si>
  <si>
    <t>stats.unity3d.com,api.uca.cloud.unity3d.com,cdp.cloud.unity3d.com,ecommerce.iap.unity3d.com,192.168.ss.xxxmyself.com,m.sancdn.net,counter.tldw.me,logger.snackly.co,192.168.cdn-a2.contentabc.com,cds.g8j8b9g6.hwcdn.net,cdn-highwinds.unityads.unity3d.com,cdn.mbp91.com,mdn1.phluantmobile.net,viamichelin.ss.xxxmyself.com,cdn.bttrack.com,errors.snackly.co,kannadamasti.onesignal.com</t>
  </si>
  <si>
    <t>cdn.onesignal.com,gate.hockeyapp.net</t>
  </si>
  <si>
    <t>io.voodoo.paper2.apk</t>
  </si>
  <si>
    <t>ads.mopub.com,assets.applovin.com,prod-a.applovin.com</t>
  </si>
  <si>
    <t>ads.mopub.com,mpx-dashboard.mopub.com,app.mopub.com,stats.unity3d.com,api.uca.cloud.unity3d.com,cdp.cloud.unity3d.com,analytics.mopub.com,adserver.mopub.com,secure-ads.mopub.com,app2.mopub.com,voxel.read.mongostats.mopub.com,p-v2.presage.io,ad.turn.com,bookrags.crwdcntrl.net,bebo.crwdcntrl.net,barrio305.crwdcntrl.net,buzznet.crwdcntrl.net,ad.crwdcntrl.net,voxel.write.mongostats.mopub.com,cpp-test.imp.mpx.mopub.com,status.mopub.com,data-service.mopub.com,api-eu.gameanalytics.com,api-us.gameanalytics.com,click-haproxy.supersonicads.com,api.gameanalytics.com,track.brmngr.com,u.acuityplatform.com,cb6-9.tlnk.io,g7j-l.tlnk.io,170130.measurementapi.com,www.hastrk3.com,cheerz.tlnk.io,iyq-i.tlnk.io,210949.measurementapi.com,184843.measurementapi.com,lyls.tlnk.io,cvw-4.tlnk.io,epo-g.tlnk.io,715k.tlnk.io,bkk-o.tlnk.io,bl6-x.tlnk.io,cn5-n.tlnk.io,189333.measurementapi.com,fao-f.tlnk.io,2478.tlnk.io,65x3.tlnk.io,171570.measurementapi.com,we2-e.tlnk.io,171564.tlnk.io,0tht.tlnk.io,180034.measurementapi.com,200585.measurementapi.com,aki-k.tlnk.io,165542.measurementapi.com,102284.measurementapi.com,eev-a.tlnk.io,336483.measurementapi.com,338020.measurementapi.com,186289.measurementapi.com</t>
  </si>
  <si>
    <t>cds.s5x3j6q5.hwcdn.net,cdnjs.cloudflare.com,fontawesome-cdn.fonticons.netdna-cdn.com,cds.j3z9t3p6.hwcdn.net,api.gameanalytics.com</t>
  </si>
  <si>
    <t>com.h8games.helixjump.apk</t>
  </si>
  <si>
    <t>cmp.vidcoin.com</t>
  </si>
  <si>
    <t>insight.adsrvr.org,tpc.googlesyndication.com,ads.mopub.com,use-tor.adsrvr.org,choices.trustarc.com</t>
  </si>
  <si>
    <t>voxel.write.mongostats.mopub.com,cpp-test.imp.mpx.mopub.com,status.mopub.com,data-service.mopub.com,stats.unity3d.com,api.uca.cloud.unity3d.com,cdp.cloud.unity3d.com,pl-v2.presage.io,api.gameanalytics.com,use-tor.adsrvr.org,ads.mopub.com,mpx-dashboard.mopub.com,app.mopub.com,secure-ads.mopub.com,app2.mopub.com,voxel.read.mongostats.mopub.com</t>
  </si>
  <si>
    <t>com.halfbrick.fruitninjafree.apk</t>
  </si>
  <si>
    <t>api.otherlevels.com,an-retargeting.awsotherlevels.com,cdn.springserve.com,pod.xpress.com,promo.badoink.com,pod.manplay.com,analyticsnew.overwolf.com,pod.xxxconnect.com,cdn.bttrack.com,errors.snackly.co,viamichelin.cdn-a2.contentabc.com,cdn.badoink.com,c2.campartner.com,static.ifa.camads.net,cdn.nsimg.net,counter.tldw.me</t>
  </si>
  <si>
    <t>com.candywriter.bitlife.apk</t>
  </si>
  <si>
    <t>com.playgendary.tanks.apk</t>
  </si>
  <si>
    <t>stats.unity3d.com,api.uca.cloud.unity3d.com,cdp.cloud.unity3d.com,track.tenjin.io</t>
  </si>
  <si>
    <t>io.voodoo.crowdcity.apk</t>
  </si>
  <si>
    <t>cmp.vidcoin.com,cdn.liftoff.io,impression-east.liftoff.io,ipv6.adrta.com,us01.rayjump.com,stage-a.applovin.com,build-cdn.liftoff.io</t>
  </si>
  <si>
    <t>pdn.applovin.com,assets.applovin.com,prod-a.applovin.com,cdn.adrta.com,ads.mopub.com,setting.rayjump.com,net.rayjump.com,cdn-adn.rayjump.com,tpc.googlesyndication.com</t>
  </si>
  <si>
    <t>adrta.com,ads.mopub.com</t>
  </si>
  <si>
    <t>secure-ads.mopub.com,app2.mopub.com,voxel.read.mongostats.mopub.com,stats.unity3d.com,api.uca.cloud.unity3d.com,cdp.cloud.unity3d.com,mpx-dashboard.mopub.com,app.mopub.com,ad.turn.com,bookrags.crwdcntrl.net,bebo.crwdcntrl.net,barrio305.crwdcntrl.net,buzznet.crwdcntrl.net,ad.crwdcntrl.net,analytics.mopub.com,adserver.mopub.com,ads.twitter.com,ads-bidder-api.twitter.com,voxel.write.mongostats.mopub.com,cpp-test.imp.mpx.mopub.com,status.mopub.com,data-service.mopub.com,click-haproxy.supersonicads.com,setting.rayjump.com,recruitsshd.demdex.net,trowepriceassociatesinc.demdex.net,analytics.rayjump.com,track.tenjin.io,net.rayjump.com</t>
  </si>
  <si>
    <t>cds.s5x3j6q5.hwcdn.net,cdnjs.cloudflare.com,fontawesome-cdn.fonticons.netdna-cdn.com,api.gameanalytics.com</t>
  </si>
  <si>
    <t>com.magjg.roundhit.apk</t>
  </si>
  <si>
    <t>com.sausageflip.game.apk</t>
  </si>
  <si>
    <t>stats.unity3d.com,api.uca.cloud.unity3d.com,cdp.cloud.unity3d.com,supersonic.ironbeast.io,sdk.ironbeast.io,lb.ironbeast.io,track.tenjin.io</t>
  </si>
  <si>
    <t>com.parking.game.apk</t>
  </si>
  <si>
    <t>cdn.liftoff.io</t>
  </si>
  <si>
    <t>ads.mopub.com,assets.applovin.com</t>
  </si>
  <si>
    <t>ecommerce.iap.unity3d.com,secure-ads.mopub.com,app2.mopub.com,voxel.read.mongostats.mopub.com,stats.unity3d.com,api.uca.cloud.unity3d.com,cdp.cloud.unity3d.com,static.crakbanner.com,img.revcontent.com,adk2cdn.cpmrocket.com,cdn.o333o.com,ads.servebom.com,cdn.adsrvmedia.net,ckstatic.com,creative.speednetwork6.com,media.salemwebnetwork.com,dl.inmobi.com,serve.revcontent.com,servedby.o2.co.uk,cdn.mediaessence.net,cdn.waframedia5.com,ads.crakmedia.com,cdn.advertserve.com,analytics.mopub.com,adserver.mopub.com,mpx-dashboard.mopub.com,app.mopub.com,cdn.springserve.com,pod.xpress.com,promo.badoink.com,pod.manplay.com,analyticsnew.overwolf.com,pod.xxxconnect.com,cdn.bttrack.com,errors.snackly.co,viamichelin.cdn-a2.contentabc.com,cdn.badoink.com,c2.campartner.com,static.ifa.camads.net,cdn.nsimg.net,counter.tldw.me,voxel.write.mongostats.mopub.com,cpp-test.imp.mpx.mopub.com,status.mopub.com,data-service.mopub.com,impact.applifier.com,httpkafka.unityads.unity3d.com,api-eu.gameanalytics.com,api-us.gameanalytics.com</t>
  </si>
  <si>
    <t>cds.s5x3j6q5.hwcdn.net,app.adjust.com,api.gameanalytics.com</t>
  </si>
  <si>
    <t>com.playgendary.kickthebuddy.apk</t>
  </si>
  <si>
    <t>a2g5h7v7.ssl.hwcdn.net</t>
  </si>
  <si>
    <t>ads.tapdaq.com</t>
  </si>
  <si>
    <t>map2.ssl.hwcdn.net,cds.s5x3j6q5.hwcdn.net</t>
  </si>
  <si>
    <t>com.playgendary.tom.apk</t>
  </si>
  <si>
    <t>stats.unity3d.com,api.uca.cloud.unity3d.com,cdp.cloud.unity3d.com,ads.tapdaq.com,track.tenjin.io</t>
  </si>
  <si>
    <t>com.snow.drift.apk</t>
  </si>
  <si>
    <t>ecommerce.iap.unity3d.com,stats.unity3d.com,api.uca.cloud.unity3d.com,cdp.cloud.unity3d.com,cdn.revcontent.com,cdn.2xbpub.com,publishers.revcontent.com,cdn.dlyads.com,cdn.iasrv.com,cdn.trkclk.net,cdn.adk2.com,srv.gotagy.com,servedby.flashtalking.com,ads.crakmedia.com,labs-cdn.revcontent.com,cdn.ad-maven.com,static.hoptopboy.com,carrefour.adform.net,media.salemwebnetwork.com,cds.i3t2g3k8.hwcdn.net,cdn.adsrvmedia.net,creatives.adbetclickin.pink,api-us.gameanalytics.com,voxel.write.mongostats.mopub.com,cpp-test.imp.mpx.mopub.com,status.mopub.com,data-service.mopub.com,supersonic.ironbeast.io,sdk.ironbeast.io,lb.ironbeast.io,api-eu.gameanalytics.com,secure-ads.mopub.com,app2.mopub.com,voxel.read.mongostats.mopub.com,cdn.springserve.com,pod.xpress.com,promo.badoink.com,pod.manplay.com,analyticsnew.overwolf.com,pod.xxxconnect.com,cdn.bttrack.com,errors.snackly.co,viamichelin.cdn-a2.contentabc.com,cdn.badoink.com,c2.campartner.com,static.ifa.camads.net,cdn.nsimg.net,counter.tldw.me,impact.applifier.com,httpkafka.unityads.unity3d.com,192.168.ss.xxxmyself.com,m.sancdn.net,logger.snackly.co,192.168.cdn-a2.contentabc.com,cds.g8j8b9g6.hwcdn.net,cdn-highwinds.unityads.unity3d.com,cdn.mbp91.com,mdn1.phluantmobile.net,viamichelin.ss.xxxmyself.com,analytics.mopub.com,adserver.mopub.com,api.gameanalytics.com,click-haproxy.supersonicads.com,mpx-dashboard.mopub.com,app.mopub.com</t>
  </si>
  <si>
    <t>com.circleball.hoppingball.apk</t>
  </si>
  <si>
    <t>stats.unity3d.com,api.uca.cloud.unity3d.com,cdp.cloud.unity3d.com,config.uca.cloud.unity3d.com,plbslog.umeng.com,sec.umeng.com,u-time.umeng.com,static.umeng.com,pad.umeng.com,dip.umeng.com,www.umeng.com,mobile.umeng.com,i.umeng.com,iplua.o.xoxknct.com</t>
  </si>
  <si>
    <t>com.kiloo.subwaysurf.apk</t>
  </si>
  <si>
    <t>hoodrunner.kiloo.com</t>
  </si>
  <si>
    <t>config.safedk.com,form-cdn.pardot.com,asset.pagefair.net</t>
  </si>
  <si>
    <t>com.playrix.homescapes.apk</t>
  </si>
  <si>
    <t>p2.chartboost.com,p.chartboost.com,a.chartboost.com,v.chartboost.com,t.chartboost.com,a2.chartboost.com,192.168.ss.xxxmyself.com,m.sancdn.net,counter.tldw.me,logger.snackly.co,192.168.cdn-a2.contentabc.com,cds.g8j8b9g6.hwcdn.net,cdn-highwinds.unityads.unity3d.com,cdn.mbp91.com,mdn1.phluantmobile.net,viamichelin.ss.xxxmyself.com,cdn.bttrack.com,errors.snackly.co,drippler.helpshift.com</t>
  </si>
  <si>
    <t>GAMES</t>
  </si>
  <si>
    <t>Games</t>
  </si>
  <si>
    <t>13</t>
  </si>
  <si>
    <t>67</t>
  </si>
  <si>
    <t>24</t>
  </si>
  <si>
    <t>3</t>
  </si>
  <si>
    <t>26</t>
  </si>
  <si>
    <t>61</t>
  </si>
  <si>
    <t>25</t>
  </si>
  <si>
    <t>52</t>
  </si>
  <si>
    <t>47</t>
  </si>
  <si>
    <t>27</t>
  </si>
  <si>
    <t>76</t>
  </si>
  <si>
    <t>17</t>
  </si>
  <si>
    <t>19</t>
  </si>
  <si>
    <t>36</t>
  </si>
  <si>
    <t>29</t>
  </si>
  <si>
    <t>107</t>
  </si>
  <si>
    <t>34</t>
  </si>
  <si>
    <t>16</t>
  </si>
  <si>
    <t>30</t>
  </si>
  <si>
    <t>99</t>
  </si>
  <si>
    <t>4</t>
  </si>
  <si>
    <t>54</t>
  </si>
  <si>
    <t>31</t>
  </si>
  <si>
    <t>21</t>
  </si>
  <si>
    <t>44</t>
  </si>
  <si>
    <t>8</t>
  </si>
  <si>
    <t>28</t>
  </si>
  <si>
    <t>NON-GAMES</t>
  </si>
  <si>
    <t>Non-games</t>
  </si>
  <si>
    <t>50</t>
  </si>
  <si>
    <t>6</t>
  </si>
  <si>
    <t>127</t>
  </si>
  <si>
    <t>5</t>
  </si>
  <si>
    <t>2</t>
  </si>
  <si>
    <t>11</t>
  </si>
  <si>
    <t>10</t>
  </si>
  <si>
    <t>108</t>
  </si>
  <si>
    <t>1</t>
  </si>
  <si>
    <t>7</t>
  </si>
  <si>
    <t>9</t>
  </si>
  <si>
    <t>117</t>
  </si>
  <si>
    <t>33</t>
  </si>
  <si>
    <t>Streaming Apps</t>
  </si>
  <si>
    <t>20</t>
  </si>
  <si>
    <t>non-games</t>
  </si>
  <si>
    <t>HTTP (benign)</t>
  </si>
  <si>
    <t>HTTPS (suspected benign)</t>
  </si>
  <si>
    <t>games</t>
  </si>
  <si>
    <t>HTTP Ad Traffic</t>
  </si>
  <si>
    <t>HTTPS Ad Traffic</t>
  </si>
  <si>
    <t>HTTPS Tracking</t>
  </si>
  <si>
    <t>HTTP Tracking</t>
  </si>
  <si>
    <t>Overall HTTP</t>
  </si>
  <si>
    <t>Overall HTTPS</t>
  </si>
  <si>
    <t>Overall Traffic (Non-games)</t>
  </si>
  <si>
    <t>Overall Traffic (Games)</t>
  </si>
  <si>
    <t xml:space="preserve">total </t>
  </si>
  <si>
    <t>per app</t>
  </si>
  <si>
    <t>total</t>
  </si>
  <si>
    <t>ratio</t>
  </si>
  <si>
    <t>more data usage (with streaming apps)</t>
  </si>
  <si>
    <t xml:space="preserve"> more data usage (without streaming apps)</t>
  </si>
  <si>
    <t>average percentage of 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</si>
</sst>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6" fillId="2" borderId="0" xfId="6"/>
    <xf numFmtId="49" fontId="0" fillId="0" borderId="0" xfId="0" applyNumberFormat="1"/>
    <xf numFmtId="0" fontId="7" fillId="3" borderId="0" xfId="7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Benign HTTP vs HTTPS Traffic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20730283163943"/>
          <c:y val="8.1966850828729287E-2"/>
          <c:w val="0.83354504145131625"/>
          <c:h val="0.81990429373123941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non-games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Sheet1!$C$4:$C$29</c:f>
              <c:numCache>
                <c:formatCode>General</c:formatCode>
                <c:ptCount val="26"/>
                <c:pt idx="0">
                  <c:v>0</c:v>
                </c:pt>
                <c:pt idx="1">
                  <c:v>29650</c:v>
                </c:pt>
                <c:pt idx="2">
                  <c:v>0</c:v>
                </c:pt>
                <c:pt idx="3">
                  <c:v>211068</c:v>
                </c:pt>
                <c:pt idx="4">
                  <c:v>0</c:v>
                </c:pt>
                <c:pt idx="5">
                  <c:v>2396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4886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30280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Sheet1!$B$4:$B$29</c:f>
              <c:numCache>
                <c:formatCode>General</c:formatCode>
                <c:ptCount val="26"/>
                <c:pt idx="0">
                  <c:v>686356</c:v>
                </c:pt>
                <c:pt idx="1">
                  <c:v>26944712</c:v>
                </c:pt>
                <c:pt idx="2">
                  <c:v>225381</c:v>
                </c:pt>
                <c:pt idx="3">
                  <c:v>47601021</c:v>
                </c:pt>
                <c:pt idx="4">
                  <c:v>6684968</c:v>
                </c:pt>
                <c:pt idx="5">
                  <c:v>1955535</c:v>
                </c:pt>
                <c:pt idx="6">
                  <c:v>254950</c:v>
                </c:pt>
                <c:pt idx="7">
                  <c:v>1275503</c:v>
                </c:pt>
                <c:pt idx="8">
                  <c:v>451032</c:v>
                </c:pt>
                <c:pt idx="9">
                  <c:v>102222</c:v>
                </c:pt>
                <c:pt idx="10">
                  <c:v>2184123</c:v>
                </c:pt>
                <c:pt idx="11">
                  <c:v>1630137</c:v>
                </c:pt>
                <c:pt idx="12">
                  <c:v>296121</c:v>
                </c:pt>
                <c:pt idx="13">
                  <c:v>47764343</c:v>
                </c:pt>
                <c:pt idx="14">
                  <c:v>63501</c:v>
                </c:pt>
                <c:pt idx="15">
                  <c:v>252873</c:v>
                </c:pt>
                <c:pt idx="16">
                  <c:v>3017084</c:v>
                </c:pt>
                <c:pt idx="17">
                  <c:v>506684</c:v>
                </c:pt>
                <c:pt idx="18">
                  <c:v>12342173</c:v>
                </c:pt>
                <c:pt idx="19">
                  <c:v>79398483</c:v>
                </c:pt>
                <c:pt idx="20">
                  <c:v>4748721</c:v>
                </c:pt>
                <c:pt idx="21">
                  <c:v>18610214</c:v>
                </c:pt>
                <c:pt idx="22">
                  <c:v>2231334</c:v>
                </c:pt>
                <c:pt idx="23">
                  <c:v>783299</c:v>
                </c:pt>
                <c:pt idx="24">
                  <c:v>350433</c:v>
                </c:pt>
                <c:pt idx="25">
                  <c:v>2942280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17-6042-A8EF-8753FF65B2EF}"/>
            </c:ext>
          </c:extLst>
        </c:ser>
        <c:ser>
          <c:idx val="1"/>
          <c:order val="1"/>
          <c:tx>
            <c:strRef>
              <c:f>Sheet1!$F$3</c:f>
              <c:strCache>
                <c:ptCount val="1"/>
                <c:pt idx="0">
                  <c:v>games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Sheet1!$G$4:$G$32</c:f>
              <c:numCache>
                <c:formatCode>General</c:formatCode>
                <c:ptCount val="29"/>
                <c:pt idx="0">
                  <c:v>0</c:v>
                </c:pt>
                <c:pt idx="1">
                  <c:v>1457</c:v>
                </c:pt>
                <c:pt idx="2">
                  <c:v>0</c:v>
                </c:pt>
                <c:pt idx="3">
                  <c:v>0</c:v>
                </c:pt>
                <c:pt idx="4">
                  <c:v>4277</c:v>
                </c:pt>
                <c:pt idx="5">
                  <c:v>9781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64538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65215</c:v>
                </c:pt>
                <c:pt idx="16">
                  <c:v>5411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137007</c:v>
                </c:pt>
                <c:pt idx="21">
                  <c:v>0</c:v>
                </c:pt>
                <c:pt idx="22">
                  <c:v>0</c:v>
                </c:pt>
                <c:pt idx="23">
                  <c:v>530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1945</c:v>
                </c:pt>
                <c:pt idx="28">
                  <c:v>0</c:v>
                </c:pt>
              </c:numCache>
            </c:numRef>
          </c:xVal>
          <c:yVal>
            <c:numRef>
              <c:f>Sheet1!$F$4:$F$32</c:f>
              <c:numCache>
                <c:formatCode>General</c:formatCode>
                <c:ptCount val="29"/>
                <c:pt idx="0">
                  <c:v>144167</c:v>
                </c:pt>
                <c:pt idx="1">
                  <c:v>51742422</c:v>
                </c:pt>
                <c:pt idx="2">
                  <c:v>5361573</c:v>
                </c:pt>
                <c:pt idx="3">
                  <c:v>1540</c:v>
                </c:pt>
                <c:pt idx="4">
                  <c:v>3530483</c:v>
                </c:pt>
                <c:pt idx="5">
                  <c:v>20600427</c:v>
                </c:pt>
                <c:pt idx="6">
                  <c:v>22217202</c:v>
                </c:pt>
                <c:pt idx="7">
                  <c:v>59297599</c:v>
                </c:pt>
                <c:pt idx="8">
                  <c:v>26797068</c:v>
                </c:pt>
                <c:pt idx="9">
                  <c:v>128362304</c:v>
                </c:pt>
                <c:pt idx="10">
                  <c:v>23691466</c:v>
                </c:pt>
                <c:pt idx="11">
                  <c:v>316735</c:v>
                </c:pt>
                <c:pt idx="12">
                  <c:v>509492</c:v>
                </c:pt>
                <c:pt idx="13">
                  <c:v>2683027</c:v>
                </c:pt>
                <c:pt idx="14">
                  <c:v>10098469</c:v>
                </c:pt>
                <c:pt idx="15">
                  <c:v>23462265</c:v>
                </c:pt>
                <c:pt idx="16">
                  <c:v>4186990</c:v>
                </c:pt>
                <c:pt idx="17">
                  <c:v>5595226</c:v>
                </c:pt>
                <c:pt idx="18">
                  <c:v>7390527</c:v>
                </c:pt>
                <c:pt idx="19">
                  <c:v>4922294</c:v>
                </c:pt>
                <c:pt idx="20">
                  <c:v>33941336</c:v>
                </c:pt>
                <c:pt idx="21">
                  <c:v>3901970</c:v>
                </c:pt>
                <c:pt idx="22">
                  <c:v>53979966</c:v>
                </c:pt>
                <c:pt idx="23">
                  <c:v>36544647</c:v>
                </c:pt>
                <c:pt idx="24">
                  <c:v>8510948</c:v>
                </c:pt>
                <c:pt idx="25">
                  <c:v>16624667</c:v>
                </c:pt>
                <c:pt idx="26">
                  <c:v>76314</c:v>
                </c:pt>
                <c:pt idx="27">
                  <c:v>23118</c:v>
                </c:pt>
                <c:pt idx="28">
                  <c:v>24220912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17-6042-A8EF-8753FF65B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7532272"/>
        <c:axId val="1967932784"/>
      </c:scatterChart>
      <c:valAx>
        <c:axId val="196753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HTTP Traffic (bytes)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932784"/>
        <c:crosses val="autoZero"/>
        <c:crossBetween val="midCat"/>
      </c:valAx>
      <c:valAx>
        <c:axId val="196793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HTTPS Traffic (bytes)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532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265542798339629"/>
          <c:y val="0.10258528733632051"/>
          <c:w val="0.10504824561403509"/>
          <c:h val="9.91907407407407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Ad HTTP vs HTTPS Traffic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111286089238846"/>
          <c:y val="0.10120054570259208"/>
          <c:w val="0.77750869422572177"/>
          <c:h val="0.77764445542533644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Sheet1!$L$3</c:f>
              <c:strCache>
                <c:ptCount val="1"/>
                <c:pt idx="0">
                  <c:v>non-games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Sheet1!$K$4:$K$29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3644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1158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971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Sheet1!$L$4:$L$29</c:f>
              <c:numCache>
                <c:formatCode>General</c:formatCode>
                <c:ptCount val="26"/>
                <c:pt idx="0">
                  <c:v>153897</c:v>
                </c:pt>
                <c:pt idx="1">
                  <c:v>2693427</c:v>
                </c:pt>
                <c:pt idx="2">
                  <c:v>9885</c:v>
                </c:pt>
                <c:pt idx="3">
                  <c:v>280109</c:v>
                </c:pt>
                <c:pt idx="4">
                  <c:v>4432</c:v>
                </c:pt>
                <c:pt idx="5">
                  <c:v>0</c:v>
                </c:pt>
                <c:pt idx="6">
                  <c:v>112234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1728</c:v>
                </c:pt>
                <c:pt idx="13">
                  <c:v>510677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4108</c:v>
                </c:pt>
                <c:pt idx="19">
                  <c:v>519126</c:v>
                </c:pt>
                <c:pt idx="20">
                  <c:v>1011039</c:v>
                </c:pt>
                <c:pt idx="21">
                  <c:v>0</c:v>
                </c:pt>
                <c:pt idx="22">
                  <c:v>59754</c:v>
                </c:pt>
                <c:pt idx="23">
                  <c:v>0</c:v>
                </c:pt>
                <c:pt idx="24">
                  <c:v>40915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DD-9A4A-B091-B7FDCA797924}"/>
            </c:ext>
          </c:extLst>
        </c:ser>
        <c:ser>
          <c:idx val="1"/>
          <c:order val="1"/>
          <c:tx>
            <c:strRef>
              <c:f>Sheet1!$P$3</c:f>
              <c:strCache>
                <c:ptCount val="1"/>
                <c:pt idx="0">
                  <c:v>games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Sheet1!$O$4:$O$32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29218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27390</c:v>
                </c:pt>
                <c:pt idx="16">
                  <c:v>6266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90361</c:v>
                </c:pt>
                <c:pt idx="21">
                  <c:v>0</c:v>
                </c:pt>
                <c:pt idx="22">
                  <c:v>0</c:v>
                </c:pt>
                <c:pt idx="23">
                  <c:v>1231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xVal>
          <c:yVal>
            <c:numRef>
              <c:f>Sheet1!$P$4:$P$32</c:f>
              <c:numCache>
                <c:formatCode>General</c:formatCode>
                <c:ptCount val="29"/>
                <c:pt idx="0">
                  <c:v>0</c:v>
                </c:pt>
                <c:pt idx="1">
                  <c:v>515933</c:v>
                </c:pt>
                <c:pt idx="2">
                  <c:v>1542</c:v>
                </c:pt>
                <c:pt idx="3">
                  <c:v>486</c:v>
                </c:pt>
                <c:pt idx="4">
                  <c:v>233692</c:v>
                </c:pt>
                <c:pt idx="5">
                  <c:v>2119719</c:v>
                </c:pt>
                <c:pt idx="6">
                  <c:v>149545</c:v>
                </c:pt>
                <c:pt idx="7">
                  <c:v>2441233</c:v>
                </c:pt>
                <c:pt idx="8">
                  <c:v>4390365</c:v>
                </c:pt>
                <c:pt idx="9">
                  <c:v>0</c:v>
                </c:pt>
                <c:pt idx="10">
                  <c:v>3253963</c:v>
                </c:pt>
                <c:pt idx="11">
                  <c:v>3392</c:v>
                </c:pt>
                <c:pt idx="12">
                  <c:v>3837</c:v>
                </c:pt>
                <c:pt idx="13">
                  <c:v>1476815</c:v>
                </c:pt>
                <c:pt idx="14">
                  <c:v>4383814</c:v>
                </c:pt>
                <c:pt idx="15">
                  <c:v>2792400</c:v>
                </c:pt>
                <c:pt idx="16">
                  <c:v>1899306</c:v>
                </c:pt>
                <c:pt idx="17">
                  <c:v>2867209</c:v>
                </c:pt>
                <c:pt idx="18">
                  <c:v>179493</c:v>
                </c:pt>
                <c:pt idx="19">
                  <c:v>229934</c:v>
                </c:pt>
                <c:pt idx="20">
                  <c:v>3833279</c:v>
                </c:pt>
                <c:pt idx="21">
                  <c:v>0</c:v>
                </c:pt>
                <c:pt idx="22">
                  <c:v>535227</c:v>
                </c:pt>
                <c:pt idx="23">
                  <c:v>7578723</c:v>
                </c:pt>
                <c:pt idx="24">
                  <c:v>344657</c:v>
                </c:pt>
                <c:pt idx="25">
                  <c:v>12038966</c:v>
                </c:pt>
                <c:pt idx="26">
                  <c:v>191040</c:v>
                </c:pt>
                <c:pt idx="27">
                  <c:v>193</c:v>
                </c:pt>
                <c:pt idx="28">
                  <c:v>1383814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DD-9A4A-B091-B7FDCA797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3269168"/>
        <c:axId val="1967530816"/>
      </c:scatterChart>
      <c:valAx>
        <c:axId val="1963269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HTTP Traffic (bytes)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530816"/>
        <c:crosses val="autoZero"/>
        <c:crossBetween val="midCat"/>
      </c:valAx>
      <c:valAx>
        <c:axId val="196753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HTTPS Traffic (bytes)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269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785979532163756"/>
          <c:y val="0.12392870370370371"/>
          <c:w val="0.10504824561403509"/>
          <c:h val="9.91907407407407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Tracking HTTP vs HTTPS Traffic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73494152046783"/>
          <c:y val="0.10902314814814815"/>
          <c:w val="0.79689809941520473"/>
          <c:h val="0.7604636574074074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Sheet1!$T$3</c:f>
              <c:strCache>
                <c:ptCount val="1"/>
                <c:pt idx="0">
                  <c:v>non-games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Sheet1!$S$4:$S$29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4861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Sheet1!$T$4:$T$29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43369</c:v>
                </c:pt>
                <c:pt idx="4">
                  <c:v>0</c:v>
                </c:pt>
                <c:pt idx="5">
                  <c:v>0</c:v>
                </c:pt>
                <c:pt idx="6">
                  <c:v>1872</c:v>
                </c:pt>
                <c:pt idx="7">
                  <c:v>48351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75835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92367</c:v>
                </c:pt>
                <c:pt idx="20">
                  <c:v>19828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30-D942-9309-9AA4DA9B311F}"/>
            </c:ext>
          </c:extLst>
        </c:ser>
        <c:ser>
          <c:idx val="1"/>
          <c:order val="1"/>
          <c:tx>
            <c:v>games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Sheet1!$W$4:$W$32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490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21648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24108</c:v>
                </c:pt>
                <c:pt idx="16">
                  <c:v>1452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35115</c:v>
                </c:pt>
                <c:pt idx="21">
                  <c:v>0</c:v>
                </c:pt>
                <c:pt idx="22">
                  <c:v>0</c:v>
                </c:pt>
                <c:pt idx="23">
                  <c:v>984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xVal>
          <c:yVal>
            <c:numRef>
              <c:f>Sheet1!$X$4:$X$32</c:f>
              <c:numCache>
                <c:formatCode>General</c:formatCode>
                <c:ptCount val="29"/>
                <c:pt idx="0">
                  <c:v>0</c:v>
                </c:pt>
                <c:pt idx="1">
                  <c:v>82314</c:v>
                </c:pt>
                <c:pt idx="2">
                  <c:v>1542</c:v>
                </c:pt>
                <c:pt idx="3">
                  <c:v>0</c:v>
                </c:pt>
                <c:pt idx="4">
                  <c:v>0</c:v>
                </c:pt>
                <c:pt idx="5">
                  <c:v>97301</c:v>
                </c:pt>
                <c:pt idx="6">
                  <c:v>0</c:v>
                </c:pt>
                <c:pt idx="7">
                  <c:v>148476</c:v>
                </c:pt>
                <c:pt idx="8">
                  <c:v>795</c:v>
                </c:pt>
                <c:pt idx="9">
                  <c:v>96561</c:v>
                </c:pt>
                <c:pt idx="10">
                  <c:v>101184</c:v>
                </c:pt>
                <c:pt idx="11">
                  <c:v>0</c:v>
                </c:pt>
                <c:pt idx="12">
                  <c:v>0</c:v>
                </c:pt>
                <c:pt idx="13">
                  <c:v>730851</c:v>
                </c:pt>
                <c:pt idx="14">
                  <c:v>22240</c:v>
                </c:pt>
                <c:pt idx="15">
                  <c:v>410949</c:v>
                </c:pt>
                <c:pt idx="16">
                  <c:v>103711</c:v>
                </c:pt>
                <c:pt idx="17">
                  <c:v>295</c:v>
                </c:pt>
                <c:pt idx="18">
                  <c:v>0</c:v>
                </c:pt>
                <c:pt idx="19">
                  <c:v>90836</c:v>
                </c:pt>
                <c:pt idx="20">
                  <c:v>194701</c:v>
                </c:pt>
                <c:pt idx="21">
                  <c:v>0</c:v>
                </c:pt>
                <c:pt idx="22">
                  <c:v>29687</c:v>
                </c:pt>
                <c:pt idx="23">
                  <c:v>94891</c:v>
                </c:pt>
                <c:pt idx="24">
                  <c:v>0</c:v>
                </c:pt>
                <c:pt idx="25">
                  <c:v>915</c:v>
                </c:pt>
                <c:pt idx="26">
                  <c:v>361</c:v>
                </c:pt>
                <c:pt idx="27">
                  <c:v>0</c:v>
                </c:pt>
                <c:pt idx="28">
                  <c:v>91113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30-D942-9309-9AA4DA9B3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6068144"/>
        <c:axId val="1964958688"/>
      </c:scatterChart>
      <c:valAx>
        <c:axId val="1936068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HTTP Traffic (bytes)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4958688"/>
        <c:crosses val="autoZero"/>
        <c:crossBetween val="midCat"/>
      </c:valAx>
      <c:valAx>
        <c:axId val="196495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HTTPS Traffic (bytse)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6068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692456140350877"/>
          <c:y val="0.11121712962962962"/>
          <c:w val="0.10504824561403509"/>
          <c:h val="9.91907407407407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HTTP</a:t>
            </a:r>
            <a:r>
              <a:rPr lang="en-US" baseline="0"/>
              <a:t> vs HTTPS Traffic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11688311688312"/>
          <c:y val="8.2319732231029397E-2"/>
          <c:w val="0.84500368135801196"/>
          <c:h val="0.81913412044360157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Sheet1!$AD$3</c:f>
              <c:strCache>
                <c:ptCount val="1"/>
                <c:pt idx="0">
                  <c:v>non-games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Sheet1!$AC$4:$AC$29</c:f>
              <c:numCache>
                <c:formatCode>General</c:formatCode>
                <c:ptCount val="26"/>
                <c:pt idx="0">
                  <c:v>0</c:v>
                </c:pt>
                <c:pt idx="1">
                  <c:v>29650</c:v>
                </c:pt>
                <c:pt idx="2">
                  <c:v>0</c:v>
                </c:pt>
                <c:pt idx="3">
                  <c:v>219573</c:v>
                </c:pt>
                <c:pt idx="4">
                  <c:v>0</c:v>
                </c:pt>
                <c:pt idx="5">
                  <c:v>2396</c:v>
                </c:pt>
                <c:pt idx="6">
                  <c:v>0</c:v>
                </c:pt>
                <c:pt idx="7">
                  <c:v>1158</c:v>
                </c:pt>
                <c:pt idx="8">
                  <c:v>0</c:v>
                </c:pt>
                <c:pt idx="9">
                  <c:v>225</c:v>
                </c:pt>
                <c:pt idx="10">
                  <c:v>0</c:v>
                </c:pt>
                <c:pt idx="11">
                  <c:v>0</c:v>
                </c:pt>
                <c:pt idx="12">
                  <c:v>971</c:v>
                </c:pt>
                <c:pt idx="13">
                  <c:v>4886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30280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Sheet1!$AD$4:$AD$29</c:f>
              <c:numCache>
                <c:formatCode>General</c:formatCode>
                <c:ptCount val="26"/>
                <c:pt idx="0">
                  <c:v>840253</c:v>
                </c:pt>
                <c:pt idx="1">
                  <c:v>29638139</c:v>
                </c:pt>
                <c:pt idx="2">
                  <c:v>235266</c:v>
                </c:pt>
                <c:pt idx="3">
                  <c:v>47924499</c:v>
                </c:pt>
                <c:pt idx="4">
                  <c:v>6689400</c:v>
                </c:pt>
                <c:pt idx="5">
                  <c:v>1955535</c:v>
                </c:pt>
                <c:pt idx="6">
                  <c:v>369056</c:v>
                </c:pt>
                <c:pt idx="7">
                  <c:v>1323854</c:v>
                </c:pt>
                <c:pt idx="8">
                  <c:v>451032</c:v>
                </c:pt>
                <c:pt idx="9">
                  <c:v>102222</c:v>
                </c:pt>
                <c:pt idx="10">
                  <c:v>2184123</c:v>
                </c:pt>
                <c:pt idx="11">
                  <c:v>1630137</c:v>
                </c:pt>
                <c:pt idx="12">
                  <c:v>297849</c:v>
                </c:pt>
                <c:pt idx="13">
                  <c:v>48350855</c:v>
                </c:pt>
                <c:pt idx="14">
                  <c:v>63501</c:v>
                </c:pt>
                <c:pt idx="15">
                  <c:v>252873</c:v>
                </c:pt>
                <c:pt idx="16">
                  <c:v>3017084</c:v>
                </c:pt>
                <c:pt idx="17">
                  <c:v>506684</c:v>
                </c:pt>
                <c:pt idx="18">
                  <c:v>12346281</c:v>
                </c:pt>
                <c:pt idx="19">
                  <c:v>80009976</c:v>
                </c:pt>
                <c:pt idx="20">
                  <c:v>5779588</c:v>
                </c:pt>
                <c:pt idx="21">
                  <c:v>18610214</c:v>
                </c:pt>
                <c:pt idx="22">
                  <c:v>2291088</c:v>
                </c:pt>
                <c:pt idx="23">
                  <c:v>783299</c:v>
                </c:pt>
                <c:pt idx="24">
                  <c:v>391348</c:v>
                </c:pt>
                <c:pt idx="25">
                  <c:v>2942280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FD-9244-A86E-3F5855B6F8E1}"/>
            </c:ext>
          </c:extLst>
        </c:ser>
        <c:ser>
          <c:idx val="1"/>
          <c:order val="1"/>
          <c:tx>
            <c:strRef>
              <c:f>Sheet1!$AH$3</c:f>
              <c:strCache>
                <c:ptCount val="1"/>
                <c:pt idx="0">
                  <c:v>games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Sheet1!$AH$4:$AH$32</c:f>
              <c:numCache>
                <c:formatCode>General</c:formatCode>
                <c:ptCount val="29"/>
                <c:pt idx="0">
                  <c:v>0</c:v>
                </c:pt>
                <c:pt idx="1">
                  <c:v>1457</c:v>
                </c:pt>
                <c:pt idx="2">
                  <c:v>0</c:v>
                </c:pt>
                <c:pt idx="3">
                  <c:v>0</c:v>
                </c:pt>
                <c:pt idx="4">
                  <c:v>4277</c:v>
                </c:pt>
                <c:pt idx="5">
                  <c:v>12275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115404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116713</c:v>
                </c:pt>
                <c:pt idx="16">
                  <c:v>13129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262483</c:v>
                </c:pt>
                <c:pt idx="21">
                  <c:v>0</c:v>
                </c:pt>
                <c:pt idx="22">
                  <c:v>0</c:v>
                </c:pt>
                <c:pt idx="23">
                  <c:v>2745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1945</c:v>
                </c:pt>
                <c:pt idx="28">
                  <c:v>0</c:v>
                </c:pt>
              </c:numCache>
            </c:numRef>
          </c:xVal>
          <c:yVal>
            <c:numRef>
              <c:f>Sheet1!$AI$4:$AI$32</c:f>
              <c:numCache>
                <c:formatCode>General</c:formatCode>
                <c:ptCount val="29"/>
                <c:pt idx="0">
                  <c:v>144167</c:v>
                </c:pt>
                <c:pt idx="1">
                  <c:v>52340669</c:v>
                </c:pt>
                <c:pt idx="2">
                  <c:v>5364657</c:v>
                </c:pt>
                <c:pt idx="3">
                  <c:v>2026</c:v>
                </c:pt>
                <c:pt idx="4">
                  <c:v>3764175</c:v>
                </c:pt>
                <c:pt idx="5">
                  <c:v>22817447</c:v>
                </c:pt>
                <c:pt idx="6">
                  <c:v>22366747</c:v>
                </c:pt>
                <c:pt idx="7">
                  <c:v>61887308</c:v>
                </c:pt>
                <c:pt idx="8">
                  <c:v>31188228</c:v>
                </c:pt>
                <c:pt idx="9">
                  <c:v>128458865</c:v>
                </c:pt>
                <c:pt idx="10">
                  <c:v>27046613</c:v>
                </c:pt>
                <c:pt idx="11">
                  <c:v>320127</c:v>
                </c:pt>
                <c:pt idx="12">
                  <c:v>513329</c:v>
                </c:pt>
                <c:pt idx="13">
                  <c:v>4890693</c:v>
                </c:pt>
                <c:pt idx="14">
                  <c:v>14504523</c:v>
                </c:pt>
                <c:pt idx="15">
                  <c:v>26665614</c:v>
                </c:pt>
                <c:pt idx="16">
                  <c:v>6190007</c:v>
                </c:pt>
                <c:pt idx="17">
                  <c:v>8462730</c:v>
                </c:pt>
                <c:pt idx="18">
                  <c:v>7570020</c:v>
                </c:pt>
                <c:pt idx="19">
                  <c:v>5243064</c:v>
                </c:pt>
                <c:pt idx="20">
                  <c:v>37969316</c:v>
                </c:pt>
                <c:pt idx="21">
                  <c:v>3901970</c:v>
                </c:pt>
                <c:pt idx="22">
                  <c:v>54544880</c:v>
                </c:pt>
                <c:pt idx="23">
                  <c:v>44218261</c:v>
                </c:pt>
                <c:pt idx="24">
                  <c:v>8855605</c:v>
                </c:pt>
                <c:pt idx="25">
                  <c:v>28664548</c:v>
                </c:pt>
                <c:pt idx="26">
                  <c:v>267715</c:v>
                </c:pt>
                <c:pt idx="27">
                  <c:v>23311</c:v>
                </c:pt>
                <c:pt idx="28">
                  <c:v>25695839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FD-9244-A86E-3F5855B6F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525472"/>
        <c:axId val="1995757568"/>
      </c:scatterChart>
      <c:valAx>
        <c:axId val="1995525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HTTP  Traffic (bytes)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757568"/>
        <c:crosses val="autoZero"/>
        <c:crossBetween val="midCat"/>
      </c:valAx>
      <c:valAx>
        <c:axId val="199575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HTTPS Traffic (bytes)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525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937032101756526"/>
          <c:y val="0.10304613421657478"/>
          <c:w val="8.7041792852816477E-2"/>
          <c:h val="7.48956103017644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Traffic Usage</a:t>
            </a:r>
            <a:r>
              <a:rPr lang="en-US" baseline="0"/>
              <a:t> Per (Non-gaming) App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6481307953735"/>
          <c:y val="6.8803412560442936E-2"/>
          <c:w val="0.8418136809275395"/>
          <c:h val="0.6616880195170409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Sheet1!$AL$4:$AL$29</c:f>
              <c:strCache>
                <c:ptCount val="26"/>
                <c:pt idx="0">
                  <c:v>com.mcdonalds.superapp.apk</c:v>
                </c:pt>
                <c:pt idx="1">
                  <c:v>com.tubitv.apk</c:v>
                </c:pt>
                <c:pt idx="2">
                  <c:v>com.ubercab.apk</c:v>
                </c:pt>
                <c:pt idx="3">
                  <c:v>com.pinterest.apk</c:v>
                </c:pt>
                <c:pt idx="4">
                  <c:v>com.amazon.mShop.android.shopping.apk</c:v>
                </c:pt>
                <c:pt idx="5">
                  <c:v>com.facebook.katana.apk</c:v>
                </c:pt>
                <c:pt idx="6">
                  <c:v>com.snapchat.android.apk</c:v>
                </c:pt>
                <c:pt idx="7">
                  <c:v>com.ebay.kijiji.ca.apk</c:v>
                </c:pt>
                <c:pt idx="8">
                  <c:v>com.reddit.frontpage.apk</c:v>
                </c:pt>
                <c:pt idx="9">
                  <c:v>com.facebook.orca.apk</c:v>
                </c:pt>
                <c:pt idx="10">
                  <c:v>com.amazon.avod.thirdpartyclient.apk</c:v>
                </c:pt>
                <c:pt idx="11">
                  <c:v>com.ncconsulting.skipthedishes_android.apk</c:v>
                </c:pt>
                <c:pt idx="12">
                  <c:v>com.pelmorex.WeatherEyeAndroid.apk</c:v>
                </c:pt>
                <c:pt idx="13">
                  <c:v>com.contextlogic.wish.apk</c:v>
                </c:pt>
                <c:pt idx="14">
                  <c:v>com.sec.android.easyMover.apk</c:v>
                </c:pt>
                <c:pt idx="15">
                  <c:v>com.facebook.mlite.apk</c:v>
                </c:pt>
                <c:pt idx="16">
                  <c:v>ecg.move.ca.apk</c:v>
                </c:pt>
                <c:pt idx="17">
                  <c:v>com.instagram.android.apk</c:v>
                </c:pt>
                <c:pt idx="18">
                  <c:v>com.td.apk</c:v>
                </c:pt>
                <c:pt idx="19">
                  <c:v>com.wayfair.wayfair.apk</c:v>
                </c:pt>
                <c:pt idx="20">
                  <c:v>com.microsoft.office.outlook.apk</c:v>
                </c:pt>
                <c:pt idx="21">
                  <c:v>com.whatsapp.apk</c:v>
                </c:pt>
                <c:pt idx="22">
                  <c:v>com.flashfoodapp.android.apk</c:v>
                </c:pt>
                <c:pt idx="23">
                  <c:v>com.bitstrips.imoji.apk</c:v>
                </c:pt>
                <c:pt idx="24">
                  <c:v>digital.rbi.timhortons.apk</c:v>
                </c:pt>
                <c:pt idx="25">
                  <c:v>ca.gc.ec.weather_app_android.ops.apk</c:v>
                </c:pt>
              </c:strCache>
            </c:strRef>
          </c:cat>
          <c:val>
            <c:numRef>
              <c:f>Sheet1!$AM$4:$AM$29</c:f>
              <c:numCache>
                <c:formatCode>General</c:formatCode>
                <c:ptCount val="26"/>
                <c:pt idx="0">
                  <c:v>840253</c:v>
                </c:pt>
                <c:pt idx="1">
                  <c:v>29667789</c:v>
                </c:pt>
                <c:pt idx="2">
                  <c:v>235266</c:v>
                </c:pt>
                <c:pt idx="3">
                  <c:v>48144072</c:v>
                </c:pt>
                <c:pt idx="4">
                  <c:v>6689400</c:v>
                </c:pt>
                <c:pt idx="5">
                  <c:v>1957931</c:v>
                </c:pt>
                <c:pt idx="6">
                  <c:v>369056</c:v>
                </c:pt>
                <c:pt idx="7">
                  <c:v>1325012</c:v>
                </c:pt>
                <c:pt idx="8">
                  <c:v>451032</c:v>
                </c:pt>
                <c:pt idx="9">
                  <c:v>102447</c:v>
                </c:pt>
                <c:pt idx="10">
                  <c:v>2184123</c:v>
                </c:pt>
                <c:pt idx="11">
                  <c:v>1630137</c:v>
                </c:pt>
                <c:pt idx="12">
                  <c:v>298820</c:v>
                </c:pt>
                <c:pt idx="13">
                  <c:v>48355741</c:v>
                </c:pt>
                <c:pt idx="14">
                  <c:v>63501</c:v>
                </c:pt>
                <c:pt idx="15">
                  <c:v>252873</c:v>
                </c:pt>
                <c:pt idx="16">
                  <c:v>3017084</c:v>
                </c:pt>
                <c:pt idx="17">
                  <c:v>506684</c:v>
                </c:pt>
                <c:pt idx="18">
                  <c:v>12346281</c:v>
                </c:pt>
                <c:pt idx="19">
                  <c:v>80040256</c:v>
                </c:pt>
                <c:pt idx="20">
                  <c:v>5779588</c:v>
                </c:pt>
                <c:pt idx="21">
                  <c:v>18610214</c:v>
                </c:pt>
                <c:pt idx="22">
                  <c:v>2291088</c:v>
                </c:pt>
                <c:pt idx="23">
                  <c:v>783299</c:v>
                </c:pt>
                <c:pt idx="24">
                  <c:v>391348</c:v>
                </c:pt>
                <c:pt idx="25">
                  <c:v>2942280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C5-474A-9A77-2AC882685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94612720"/>
        <c:axId val="1937670976"/>
      </c:barChart>
      <c:catAx>
        <c:axId val="199461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670976"/>
        <c:crosses val="autoZero"/>
        <c:auto val="1"/>
        <c:lblAlgn val="ctr"/>
        <c:lblOffset val="100"/>
        <c:noMultiLvlLbl val="0"/>
      </c:catAx>
      <c:valAx>
        <c:axId val="1937670976"/>
        <c:scaling>
          <c:orientation val="minMax"/>
          <c:max val="14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Traffic (MB)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61272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Traffic Usage Per (Gaming)</a:t>
            </a:r>
            <a:r>
              <a:rPr lang="en-US" baseline="0"/>
              <a:t> App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83984576974782"/>
          <c:y val="6.9124024920929616E-2"/>
          <c:w val="0.82852225554357295"/>
          <c:h val="0.6660384087590169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Sheet1!$AO$4:$AO$32</c:f>
              <c:strCache>
                <c:ptCount val="29"/>
                <c:pt idx="0">
                  <c:v>com.peoplefun.wordcross.apk</c:v>
                </c:pt>
                <c:pt idx="1">
                  <c:v>com.youmusic.magictiles.apk</c:v>
                </c:pt>
                <c:pt idx="2">
                  <c:v>com.luckyday.app.apk</c:v>
                </c:pt>
                <c:pt idx="3">
                  <c:v>com.love.poly.puzzle.game.apk</c:v>
                </c:pt>
                <c:pt idx="4">
                  <c:v>com.word.game.fun.puzzle.prison.escape.captain.apk</c:v>
                </c:pt>
                <c:pt idx="5">
                  <c:v>com.fullfat.bw.apk</c:v>
                </c:pt>
                <c:pt idx="6">
                  <c:v>com.roblox.client.apk</c:v>
                </c:pt>
                <c:pt idx="7">
                  <c:v>com.mindy.grap1.apk</c:v>
                </c:pt>
                <c:pt idx="8">
                  <c:v>com.amanotes.beathopper.apk</c:v>
                </c:pt>
                <c:pt idx="9">
                  <c:v>com.playrix.gardenscapes.apk</c:v>
                </c:pt>
                <c:pt idx="10">
                  <c:v>io.voodoo.holeio.apk</c:v>
                </c:pt>
                <c:pt idx="11">
                  <c:v>com.matchington.mansion.apk</c:v>
                </c:pt>
                <c:pt idx="12">
                  <c:v>com.playrix.township.apk</c:v>
                </c:pt>
                <c:pt idx="13">
                  <c:v>com.colorup.game.apk</c:v>
                </c:pt>
                <c:pt idx="14">
                  <c:v>com.ohbibi.fps.apk</c:v>
                </c:pt>
                <c:pt idx="15">
                  <c:v>io.voodoo.paper2.apk</c:v>
                </c:pt>
                <c:pt idx="16">
                  <c:v>com.h8games.helixjump.apk</c:v>
                </c:pt>
                <c:pt idx="17">
                  <c:v>com.halfbrick.fruitninjafree.apk</c:v>
                </c:pt>
                <c:pt idx="18">
                  <c:v>com.candywriter.bitlife.apk</c:v>
                </c:pt>
                <c:pt idx="19">
                  <c:v>com.playgendary.tanks.apk</c:v>
                </c:pt>
                <c:pt idx="20">
                  <c:v>io.voodoo.crowdcity.apk</c:v>
                </c:pt>
                <c:pt idx="21">
                  <c:v>com.magjg.roundhit.apk</c:v>
                </c:pt>
                <c:pt idx="22">
                  <c:v>com.sausageflip.game.apk</c:v>
                </c:pt>
                <c:pt idx="23">
                  <c:v>com.parking.game.apk</c:v>
                </c:pt>
                <c:pt idx="24">
                  <c:v>com.playgendary.tom.apk</c:v>
                </c:pt>
                <c:pt idx="25">
                  <c:v>com.snow.drift.apk</c:v>
                </c:pt>
                <c:pt idx="26">
                  <c:v>com.circleball.hoppingball.apk</c:v>
                </c:pt>
                <c:pt idx="27">
                  <c:v>com.kiloo.subwaysurf.apk</c:v>
                </c:pt>
                <c:pt idx="28">
                  <c:v>com.playrix.homescapes.apk</c:v>
                </c:pt>
              </c:strCache>
            </c:strRef>
          </c:cat>
          <c:val>
            <c:numRef>
              <c:f>Sheet1!$AP$4:$AP$32</c:f>
              <c:numCache>
                <c:formatCode>General</c:formatCode>
                <c:ptCount val="29"/>
              </c:numCache>
            </c:numRef>
          </c:val>
          <c:extLst>
            <c:ext xmlns:c16="http://schemas.microsoft.com/office/drawing/2014/chart" uri="{C3380CC4-5D6E-409C-BE32-E72D297353CC}">
              <c16:uniqueId val="{00000000-B4B1-ED48-B4EC-0E215A6F4A7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Sheet1!$AO$4:$AO$32</c:f>
              <c:strCache>
                <c:ptCount val="29"/>
                <c:pt idx="0">
                  <c:v>com.peoplefun.wordcross.apk</c:v>
                </c:pt>
                <c:pt idx="1">
                  <c:v>com.youmusic.magictiles.apk</c:v>
                </c:pt>
                <c:pt idx="2">
                  <c:v>com.luckyday.app.apk</c:v>
                </c:pt>
                <c:pt idx="3">
                  <c:v>com.love.poly.puzzle.game.apk</c:v>
                </c:pt>
                <c:pt idx="4">
                  <c:v>com.word.game.fun.puzzle.prison.escape.captain.apk</c:v>
                </c:pt>
                <c:pt idx="5">
                  <c:v>com.fullfat.bw.apk</c:v>
                </c:pt>
                <c:pt idx="6">
                  <c:v>com.roblox.client.apk</c:v>
                </c:pt>
                <c:pt idx="7">
                  <c:v>com.mindy.grap1.apk</c:v>
                </c:pt>
                <c:pt idx="8">
                  <c:v>com.amanotes.beathopper.apk</c:v>
                </c:pt>
                <c:pt idx="9">
                  <c:v>com.playrix.gardenscapes.apk</c:v>
                </c:pt>
                <c:pt idx="10">
                  <c:v>io.voodoo.holeio.apk</c:v>
                </c:pt>
                <c:pt idx="11">
                  <c:v>com.matchington.mansion.apk</c:v>
                </c:pt>
                <c:pt idx="12">
                  <c:v>com.playrix.township.apk</c:v>
                </c:pt>
                <c:pt idx="13">
                  <c:v>com.colorup.game.apk</c:v>
                </c:pt>
                <c:pt idx="14">
                  <c:v>com.ohbibi.fps.apk</c:v>
                </c:pt>
                <c:pt idx="15">
                  <c:v>io.voodoo.paper2.apk</c:v>
                </c:pt>
                <c:pt idx="16">
                  <c:v>com.h8games.helixjump.apk</c:v>
                </c:pt>
                <c:pt idx="17">
                  <c:v>com.halfbrick.fruitninjafree.apk</c:v>
                </c:pt>
                <c:pt idx="18">
                  <c:v>com.candywriter.bitlife.apk</c:v>
                </c:pt>
                <c:pt idx="19">
                  <c:v>com.playgendary.tanks.apk</c:v>
                </c:pt>
                <c:pt idx="20">
                  <c:v>io.voodoo.crowdcity.apk</c:v>
                </c:pt>
                <c:pt idx="21">
                  <c:v>com.magjg.roundhit.apk</c:v>
                </c:pt>
                <c:pt idx="22">
                  <c:v>com.sausageflip.game.apk</c:v>
                </c:pt>
                <c:pt idx="23">
                  <c:v>com.parking.game.apk</c:v>
                </c:pt>
                <c:pt idx="24">
                  <c:v>com.playgendary.tom.apk</c:v>
                </c:pt>
                <c:pt idx="25">
                  <c:v>com.snow.drift.apk</c:v>
                </c:pt>
                <c:pt idx="26">
                  <c:v>com.circleball.hoppingball.apk</c:v>
                </c:pt>
                <c:pt idx="27">
                  <c:v>com.kiloo.subwaysurf.apk</c:v>
                </c:pt>
                <c:pt idx="28">
                  <c:v>com.playrix.homescapes.apk</c:v>
                </c:pt>
              </c:strCache>
            </c:strRef>
          </c:cat>
          <c:val>
            <c:numRef>
              <c:f>Sheet1!$AQ$4:$AQ$32</c:f>
              <c:numCache>
                <c:formatCode>General</c:formatCode>
                <c:ptCount val="29"/>
                <c:pt idx="0">
                  <c:v>144167</c:v>
                </c:pt>
                <c:pt idx="1">
                  <c:v>52342126</c:v>
                </c:pt>
                <c:pt idx="2">
                  <c:v>5364657</c:v>
                </c:pt>
                <c:pt idx="3">
                  <c:v>2026</c:v>
                </c:pt>
                <c:pt idx="4">
                  <c:v>3768452</c:v>
                </c:pt>
                <c:pt idx="5">
                  <c:v>22829722</c:v>
                </c:pt>
                <c:pt idx="6">
                  <c:v>22366747</c:v>
                </c:pt>
                <c:pt idx="7">
                  <c:v>61887308</c:v>
                </c:pt>
                <c:pt idx="8">
                  <c:v>31188228</c:v>
                </c:pt>
                <c:pt idx="9">
                  <c:v>128458865</c:v>
                </c:pt>
                <c:pt idx="10">
                  <c:v>27162017</c:v>
                </c:pt>
                <c:pt idx="11">
                  <c:v>320127</c:v>
                </c:pt>
                <c:pt idx="12">
                  <c:v>513329</c:v>
                </c:pt>
                <c:pt idx="13">
                  <c:v>4890693</c:v>
                </c:pt>
                <c:pt idx="14">
                  <c:v>14504523</c:v>
                </c:pt>
                <c:pt idx="15">
                  <c:v>26782327</c:v>
                </c:pt>
                <c:pt idx="16">
                  <c:v>6203136</c:v>
                </c:pt>
                <c:pt idx="17">
                  <c:v>8462730</c:v>
                </c:pt>
                <c:pt idx="18">
                  <c:v>7570020</c:v>
                </c:pt>
                <c:pt idx="19">
                  <c:v>5243064</c:v>
                </c:pt>
                <c:pt idx="20">
                  <c:v>38231799</c:v>
                </c:pt>
                <c:pt idx="21">
                  <c:v>3901970</c:v>
                </c:pt>
                <c:pt idx="22">
                  <c:v>54544880</c:v>
                </c:pt>
                <c:pt idx="23">
                  <c:v>44221006</c:v>
                </c:pt>
                <c:pt idx="24">
                  <c:v>8855605</c:v>
                </c:pt>
                <c:pt idx="25">
                  <c:v>28664548</c:v>
                </c:pt>
                <c:pt idx="26">
                  <c:v>267715</c:v>
                </c:pt>
                <c:pt idx="27">
                  <c:v>25256</c:v>
                </c:pt>
                <c:pt idx="28">
                  <c:v>25695839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B1-ED48-B4EC-0E215A6F4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13474240"/>
        <c:axId val="1967173600"/>
      </c:barChart>
      <c:catAx>
        <c:axId val="20134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173600"/>
        <c:crosses val="autoZero"/>
        <c:auto val="1"/>
        <c:lblAlgn val="ctr"/>
        <c:lblOffset val="100"/>
        <c:noMultiLvlLbl val="0"/>
      </c:catAx>
      <c:valAx>
        <c:axId val="196717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Traffic (MB)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47424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45</xdr:row>
      <xdr:rowOff>114300</xdr:rowOff>
    </xdr:from>
    <xdr:to>
      <xdr:col>6</xdr:col>
      <xdr:colOff>642400</xdr:colOff>
      <xdr:row>66</xdr:row>
      <xdr:rowOff>167100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5535B5-6270-624F-A8FD-7627C71001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546100</xdr:colOff>
      <xdr:row>45</xdr:row>
      <xdr:rowOff>82550</xdr:rowOff>
    </xdr:from>
    <xdr:to>
      <xdr:col>14</xdr:col>
      <xdr:colOff>172500</xdr:colOff>
      <xdr:row>66</xdr:row>
      <xdr:rowOff>135350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41CBC6D-1221-7D44-8EED-BE691D6C62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469900</xdr:colOff>
      <xdr:row>41</xdr:row>
      <xdr:rowOff>196850</xdr:rowOff>
    </xdr:from>
    <xdr:to>
      <xdr:col>21</xdr:col>
      <xdr:colOff>1810800</xdr:colOff>
      <xdr:row>63</xdr:row>
      <xdr:rowOff>46450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8C1D915-5F73-A047-A401-8BC93B7691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711200</xdr:colOff>
      <xdr:row>45</xdr:row>
      <xdr:rowOff>114300</xdr:rowOff>
    </xdr:from>
    <xdr:to>
      <xdr:col>33</xdr:col>
      <xdr:colOff>711200</xdr:colOff>
      <xdr:row>73</xdr:row>
      <xdr:rowOff>146050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E20915F-7A02-DF4F-9855-624167F96C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0</xdr:colOff>
      <xdr:row>50</xdr:row>
      <xdr:rowOff>0</xdr:rowOff>
    </xdr:from>
    <xdr:to>
      <xdr:col>42</xdr:col>
      <xdr:colOff>571500</xdr:colOff>
      <xdr:row>70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318F34B-A8CC-834F-9BD5-EA86F59CFE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165100</xdr:colOff>
      <xdr:row>50</xdr:row>
      <xdr:rowOff>6350</xdr:rowOff>
    </xdr:from>
    <xdr:to>
      <xdr:col>51</xdr:col>
      <xdr:colOff>330200</xdr:colOff>
      <xdr:row>70</xdr:row>
      <xdr:rowOff>139193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7978FB6-CAF2-0B48-B192-BDE34E1BE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ame_summary" connectionId="1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72"/>
  <sheetViews>
    <sheetView workbookViewId="0">
      <selection activeCell="O35" activeCellId="6" sqref="A5:XFD5 A8:XFD8 A9:XFD9 A18:XFD18 A25:XFD25 A26:XFD26 A35:XFD35"/>
    </sheetView>
  </sheetViews>
  <sheetFormatPr baseColWidth="10" defaultRowHeight="16" x14ac:dyDescent="0.2"/>
  <cols>
    <col min="1" max="1" width="25" customWidth="1"/>
    <col min="2" max="2" width="107.5" customWidth="1"/>
    <col min="3" max="3" width="11.1640625" customWidth="1"/>
    <col min="5" max="5" width="42" customWidth="1"/>
    <col min="13" max="13" width="153.33203125" customWidth="1"/>
    <col min="14" max="14" width="18.6640625" customWidth="1"/>
    <col min="16" max="16" width="68.83203125" customWidth="1"/>
    <col min="17" max="17" width="30.6640625" customWidth="1"/>
    <col min="18" max="18" width="27.5" customWidth="1"/>
    <col min="23" max="23" width="16.1640625" customWidth="1"/>
  </cols>
  <sheetData>
    <row r="1" spans="1:1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2">
      <c r="A2" t="s">
        <v>18</v>
      </c>
      <c r="C2">
        <v>0</v>
      </c>
      <c r="D2">
        <v>0</v>
      </c>
      <c r="F2">
        <v>0</v>
      </c>
      <c r="G2">
        <v>0</v>
      </c>
      <c r="I2">
        <v>0</v>
      </c>
      <c r="J2">
        <v>0</v>
      </c>
      <c r="K2">
        <v>13</v>
      </c>
      <c r="L2">
        <v>686356</v>
      </c>
      <c r="M2" t="s">
        <v>19</v>
      </c>
      <c r="N2">
        <v>4</v>
      </c>
      <c r="O2">
        <v>153897</v>
      </c>
      <c r="Q2">
        <v>0</v>
      </c>
      <c r="R2">
        <v>0</v>
      </c>
    </row>
    <row r="3" spans="1:18" x14ac:dyDescent="0.2">
      <c r="A3" t="s">
        <v>20</v>
      </c>
      <c r="B3" t="s">
        <v>21</v>
      </c>
      <c r="C3">
        <v>4</v>
      </c>
      <c r="D3">
        <v>29650</v>
      </c>
      <c r="F3">
        <v>0</v>
      </c>
      <c r="G3">
        <v>0</v>
      </c>
      <c r="I3">
        <v>0</v>
      </c>
      <c r="J3">
        <v>0</v>
      </c>
      <c r="K3">
        <v>46</v>
      </c>
      <c r="L3">
        <v>26944712</v>
      </c>
      <c r="M3" t="s">
        <v>22</v>
      </c>
      <c r="N3">
        <v>6</v>
      </c>
      <c r="O3">
        <v>2693427</v>
      </c>
      <c r="Q3">
        <v>0</v>
      </c>
      <c r="R3">
        <v>0</v>
      </c>
    </row>
    <row r="4" spans="1:18" x14ac:dyDescent="0.2">
      <c r="A4" t="s">
        <v>23</v>
      </c>
      <c r="C4">
        <v>0</v>
      </c>
      <c r="D4">
        <v>0</v>
      </c>
      <c r="F4">
        <v>0</v>
      </c>
      <c r="G4">
        <v>0</v>
      </c>
      <c r="I4">
        <v>0</v>
      </c>
      <c r="J4">
        <v>0</v>
      </c>
      <c r="K4">
        <v>6</v>
      </c>
      <c r="L4">
        <v>225381</v>
      </c>
      <c r="M4" t="s">
        <v>24</v>
      </c>
      <c r="N4">
        <v>1</v>
      </c>
      <c r="O4">
        <v>9885</v>
      </c>
      <c r="Q4">
        <v>0</v>
      </c>
      <c r="R4">
        <v>0</v>
      </c>
    </row>
    <row r="5" spans="1:18" x14ac:dyDescent="0.2">
      <c r="A5" t="s">
        <v>25</v>
      </c>
      <c r="B5" t="s">
        <v>26</v>
      </c>
      <c r="C5">
        <v>6</v>
      </c>
      <c r="D5">
        <v>211068</v>
      </c>
      <c r="E5" t="s">
        <v>27</v>
      </c>
      <c r="F5">
        <v>1</v>
      </c>
      <c r="G5">
        <v>3644</v>
      </c>
      <c r="H5" t="s">
        <v>28</v>
      </c>
      <c r="I5">
        <v>2</v>
      </c>
      <c r="J5">
        <v>4861</v>
      </c>
      <c r="K5">
        <v>121</v>
      </c>
      <c r="L5">
        <v>47601021</v>
      </c>
      <c r="M5" t="s">
        <v>29</v>
      </c>
      <c r="N5">
        <v>13</v>
      </c>
      <c r="O5">
        <v>280109</v>
      </c>
      <c r="P5" t="s">
        <v>30</v>
      </c>
      <c r="Q5">
        <v>3</v>
      </c>
      <c r="R5">
        <v>43369</v>
      </c>
    </row>
    <row r="6" spans="1:18" x14ac:dyDescent="0.2">
      <c r="A6" t="s">
        <v>31</v>
      </c>
      <c r="C6">
        <v>0</v>
      </c>
      <c r="D6">
        <v>0</v>
      </c>
      <c r="F6">
        <v>0</v>
      </c>
      <c r="G6">
        <v>0</v>
      </c>
      <c r="I6">
        <v>0</v>
      </c>
      <c r="J6">
        <v>0</v>
      </c>
      <c r="K6">
        <v>26</v>
      </c>
      <c r="L6">
        <v>6684968</v>
      </c>
      <c r="M6" t="s">
        <v>32</v>
      </c>
      <c r="N6">
        <v>1</v>
      </c>
      <c r="O6">
        <v>4432</v>
      </c>
      <c r="Q6">
        <v>0</v>
      </c>
      <c r="R6">
        <v>0</v>
      </c>
    </row>
    <row r="7" spans="1:18" x14ac:dyDescent="0.2">
      <c r="A7" t="s">
        <v>33</v>
      </c>
      <c r="B7" t="s">
        <v>34</v>
      </c>
      <c r="C7">
        <v>1</v>
      </c>
      <c r="D7">
        <v>2396</v>
      </c>
      <c r="F7">
        <v>0</v>
      </c>
      <c r="G7">
        <v>0</v>
      </c>
      <c r="I7">
        <v>0</v>
      </c>
      <c r="J7">
        <v>0</v>
      </c>
      <c r="K7">
        <v>4</v>
      </c>
      <c r="L7">
        <v>1955535</v>
      </c>
      <c r="N7">
        <v>0</v>
      </c>
      <c r="O7">
        <v>0</v>
      </c>
      <c r="Q7">
        <v>0</v>
      </c>
      <c r="R7">
        <v>0</v>
      </c>
    </row>
    <row r="8" spans="1:18" x14ac:dyDescent="0.2">
      <c r="A8" t="s">
        <v>35</v>
      </c>
      <c r="C8">
        <v>0</v>
      </c>
      <c r="D8">
        <v>0</v>
      </c>
      <c r="F8">
        <v>0</v>
      </c>
      <c r="G8">
        <v>0</v>
      </c>
      <c r="I8">
        <v>0</v>
      </c>
      <c r="J8">
        <v>0</v>
      </c>
      <c r="K8">
        <v>2</v>
      </c>
      <c r="L8">
        <v>254950</v>
      </c>
      <c r="M8" t="s">
        <v>36</v>
      </c>
      <c r="N8">
        <v>1</v>
      </c>
      <c r="O8">
        <v>112234</v>
      </c>
      <c r="P8" t="s">
        <v>37</v>
      </c>
      <c r="Q8">
        <v>1</v>
      </c>
      <c r="R8">
        <v>1872</v>
      </c>
    </row>
    <row r="9" spans="1:18" x14ac:dyDescent="0.2">
      <c r="A9" t="s">
        <v>38</v>
      </c>
      <c r="C9">
        <v>0</v>
      </c>
      <c r="D9">
        <v>0</v>
      </c>
      <c r="E9" t="s">
        <v>39</v>
      </c>
      <c r="F9">
        <v>1</v>
      </c>
      <c r="G9">
        <v>1158</v>
      </c>
      <c r="I9">
        <v>0</v>
      </c>
      <c r="J9">
        <v>0</v>
      </c>
      <c r="K9">
        <v>24</v>
      </c>
      <c r="L9">
        <v>1275503</v>
      </c>
      <c r="N9">
        <v>0</v>
      </c>
      <c r="O9">
        <v>0</v>
      </c>
      <c r="P9" t="s">
        <v>40</v>
      </c>
      <c r="Q9">
        <v>1</v>
      </c>
      <c r="R9">
        <v>48351</v>
      </c>
    </row>
    <row r="10" spans="1:18" x14ac:dyDescent="0.2">
      <c r="A10" t="s">
        <v>41</v>
      </c>
      <c r="C10">
        <v>0</v>
      </c>
      <c r="D10">
        <v>0</v>
      </c>
      <c r="F10">
        <v>0</v>
      </c>
      <c r="G10">
        <v>0</v>
      </c>
      <c r="I10">
        <v>0</v>
      </c>
      <c r="J10">
        <v>0</v>
      </c>
      <c r="K10">
        <v>11</v>
      </c>
      <c r="L10">
        <v>451032</v>
      </c>
      <c r="N10">
        <v>0</v>
      </c>
      <c r="O10">
        <v>0</v>
      </c>
      <c r="Q10">
        <v>0</v>
      </c>
      <c r="R10">
        <v>0</v>
      </c>
    </row>
    <row r="12" spans="1:18" x14ac:dyDescent="0.2">
      <c r="A12" t="s">
        <v>43</v>
      </c>
      <c r="B12" t="s">
        <v>44</v>
      </c>
      <c r="C12">
        <v>1</v>
      </c>
      <c r="D12">
        <v>225</v>
      </c>
      <c r="F12">
        <v>0</v>
      </c>
      <c r="G12">
        <v>0</v>
      </c>
      <c r="I12">
        <v>0</v>
      </c>
      <c r="J12">
        <v>0</v>
      </c>
      <c r="K12">
        <v>3</v>
      </c>
      <c r="L12">
        <v>102222</v>
      </c>
      <c r="N12">
        <v>0</v>
      </c>
      <c r="O12">
        <v>0</v>
      </c>
      <c r="Q12">
        <v>0</v>
      </c>
      <c r="R12">
        <v>0</v>
      </c>
    </row>
    <row r="13" spans="1:18" x14ac:dyDescent="0.2">
      <c r="A13" t="s">
        <v>45</v>
      </c>
      <c r="C13">
        <v>0</v>
      </c>
      <c r="D13">
        <v>0</v>
      </c>
      <c r="F13">
        <v>0</v>
      </c>
      <c r="G13">
        <v>0</v>
      </c>
      <c r="I13">
        <v>0</v>
      </c>
      <c r="J13">
        <v>0</v>
      </c>
      <c r="K13">
        <v>13</v>
      </c>
      <c r="L13">
        <v>2184123</v>
      </c>
      <c r="N13">
        <v>0</v>
      </c>
      <c r="O13">
        <v>0</v>
      </c>
      <c r="Q13">
        <v>0</v>
      </c>
      <c r="R13">
        <v>0</v>
      </c>
    </row>
    <row r="16" spans="1:18" x14ac:dyDescent="0.2">
      <c r="A16" t="s">
        <v>51</v>
      </c>
      <c r="C16">
        <v>0</v>
      </c>
      <c r="D16">
        <v>0</v>
      </c>
      <c r="F16">
        <v>0</v>
      </c>
      <c r="G16">
        <v>0</v>
      </c>
      <c r="I16">
        <v>0</v>
      </c>
      <c r="J16">
        <v>0</v>
      </c>
      <c r="K16">
        <v>17</v>
      </c>
      <c r="L16">
        <v>1630137</v>
      </c>
      <c r="N16">
        <v>0</v>
      </c>
      <c r="O16">
        <v>0</v>
      </c>
      <c r="Q16">
        <v>0</v>
      </c>
      <c r="R16">
        <v>0</v>
      </c>
    </row>
    <row r="17" spans="1:18" x14ac:dyDescent="0.2">
      <c r="A17" t="s">
        <v>52</v>
      </c>
      <c r="C17">
        <v>0</v>
      </c>
      <c r="D17">
        <v>0</v>
      </c>
      <c r="E17" t="s">
        <v>53</v>
      </c>
      <c r="F17">
        <v>1</v>
      </c>
      <c r="G17">
        <v>971</v>
      </c>
      <c r="I17">
        <v>0</v>
      </c>
      <c r="J17">
        <v>0</v>
      </c>
      <c r="K17">
        <v>10</v>
      </c>
      <c r="L17">
        <v>296121</v>
      </c>
      <c r="M17" t="s">
        <v>54</v>
      </c>
      <c r="N17">
        <v>1</v>
      </c>
      <c r="O17">
        <v>1728</v>
      </c>
      <c r="Q17">
        <v>0</v>
      </c>
      <c r="R17">
        <v>0</v>
      </c>
    </row>
    <row r="18" spans="1:18" x14ac:dyDescent="0.2">
      <c r="A18" t="s">
        <v>55</v>
      </c>
      <c r="B18" t="s">
        <v>56</v>
      </c>
      <c r="C18">
        <v>5</v>
      </c>
      <c r="D18">
        <v>4886</v>
      </c>
      <c r="F18">
        <v>0</v>
      </c>
      <c r="G18">
        <v>0</v>
      </c>
      <c r="I18">
        <v>0</v>
      </c>
      <c r="J18">
        <v>0</v>
      </c>
      <c r="K18">
        <v>103</v>
      </c>
      <c r="L18">
        <v>47764343</v>
      </c>
      <c r="M18" t="s">
        <v>57</v>
      </c>
      <c r="N18">
        <v>12</v>
      </c>
      <c r="O18">
        <v>510677</v>
      </c>
      <c r="P18" t="s">
        <v>58</v>
      </c>
      <c r="Q18">
        <v>1</v>
      </c>
      <c r="R18">
        <v>75835</v>
      </c>
    </row>
    <row r="19" spans="1:18" x14ac:dyDescent="0.2">
      <c r="A19" t="s">
        <v>59</v>
      </c>
      <c r="C19">
        <v>0</v>
      </c>
      <c r="D19">
        <v>0</v>
      </c>
      <c r="F19">
        <v>0</v>
      </c>
      <c r="G19">
        <v>0</v>
      </c>
      <c r="I19">
        <v>0</v>
      </c>
      <c r="J19">
        <v>0</v>
      </c>
      <c r="K19">
        <v>1</v>
      </c>
      <c r="L19">
        <v>63501</v>
      </c>
      <c r="N19">
        <v>0</v>
      </c>
      <c r="O19">
        <v>0</v>
      </c>
      <c r="Q19">
        <v>0</v>
      </c>
      <c r="R19">
        <v>0</v>
      </c>
    </row>
    <row r="20" spans="1:18" x14ac:dyDescent="0.2">
      <c r="A20" t="s">
        <v>60</v>
      </c>
      <c r="C20">
        <v>0</v>
      </c>
      <c r="D20">
        <v>0</v>
      </c>
      <c r="F20">
        <v>0</v>
      </c>
      <c r="G20">
        <v>0</v>
      </c>
      <c r="I20">
        <v>0</v>
      </c>
      <c r="J20">
        <v>0</v>
      </c>
      <c r="K20">
        <v>2</v>
      </c>
      <c r="L20">
        <v>252873</v>
      </c>
      <c r="N20">
        <v>0</v>
      </c>
      <c r="O20">
        <v>0</v>
      </c>
      <c r="Q20">
        <v>0</v>
      </c>
      <c r="R20">
        <v>0</v>
      </c>
    </row>
    <row r="21" spans="1:18" x14ac:dyDescent="0.2">
      <c r="A21" t="s">
        <v>61</v>
      </c>
      <c r="C21">
        <v>0</v>
      </c>
      <c r="D21">
        <v>0</v>
      </c>
      <c r="F21">
        <v>0</v>
      </c>
      <c r="G21">
        <v>0</v>
      </c>
      <c r="I21">
        <v>0</v>
      </c>
      <c r="J21">
        <v>0</v>
      </c>
      <c r="K21">
        <v>7</v>
      </c>
      <c r="L21">
        <v>3017084</v>
      </c>
      <c r="N21">
        <v>0</v>
      </c>
      <c r="O21">
        <v>0</v>
      </c>
      <c r="Q21">
        <v>0</v>
      </c>
      <c r="R21">
        <v>0</v>
      </c>
    </row>
    <row r="22" spans="1:18" x14ac:dyDescent="0.2">
      <c r="A22" t="s">
        <v>62</v>
      </c>
      <c r="C22">
        <v>0</v>
      </c>
      <c r="D22">
        <v>0</v>
      </c>
      <c r="F22">
        <v>0</v>
      </c>
      <c r="G22">
        <v>0</v>
      </c>
      <c r="I22">
        <v>0</v>
      </c>
      <c r="J22">
        <v>0</v>
      </c>
      <c r="K22">
        <v>8</v>
      </c>
      <c r="L22">
        <v>506684</v>
      </c>
      <c r="N22">
        <v>0</v>
      </c>
      <c r="O22">
        <v>0</v>
      </c>
      <c r="Q22">
        <v>0</v>
      </c>
      <c r="R22">
        <v>0</v>
      </c>
    </row>
    <row r="24" spans="1:18" x14ac:dyDescent="0.2">
      <c r="A24" t="s">
        <v>66</v>
      </c>
      <c r="C24">
        <v>0</v>
      </c>
      <c r="D24">
        <v>0</v>
      </c>
      <c r="F24">
        <v>0</v>
      </c>
      <c r="G24">
        <v>0</v>
      </c>
      <c r="I24">
        <v>0</v>
      </c>
      <c r="J24">
        <v>0</v>
      </c>
      <c r="K24">
        <v>9</v>
      </c>
      <c r="L24">
        <v>12342173</v>
      </c>
      <c r="M24" t="s">
        <v>67</v>
      </c>
      <c r="N24">
        <v>4</v>
      </c>
      <c r="O24">
        <v>4108</v>
      </c>
      <c r="Q24">
        <v>0</v>
      </c>
      <c r="R24">
        <v>0</v>
      </c>
    </row>
    <row r="25" spans="1:18" x14ac:dyDescent="0.2">
      <c r="A25" t="s">
        <v>68</v>
      </c>
      <c r="B25" t="s">
        <v>69</v>
      </c>
      <c r="C25">
        <v>1</v>
      </c>
      <c r="D25">
        <v>30280</v>
      </c>
      <c r="F25">
        <v>0</v>
      </c>
      <c r="G25">
        <v>0</v>
      </c>
      <c r="I25">
        <v>0</v>
      </c>
      <c r="J25">
        <v>0</v>
      </c>
      <c r="K25">
        <v>116</v>
      </c>
      <c r="L25">
        <v>79398483</v>
      </c>
      <c r="M25" t="s">
        <v>70</v>
      </c>
      <c r="N25">
        <v>26</v>
      </c>
      <c r="O25">
        <v>519126</v>
      </c>
      <c r="P25" t="s">
        <v>71</v>
      </c>
      <c r="Q25">
        <v>2</v>
      </c>
      <c r="R25">
        <v>92367</v>
      </c>
    </row>
    <row r="26" spans="1:18" x14ac:dyDescent="0.2">
      <c r="A26" t="s">
        <v>72</v>
      </c>
      <c r="C26">
        <v>0</v>
      </c>
      <c r="D26">
        <v>0</v>
      </c>
      <c r="F26">
        <v>0</v>
      </c>
      <c r="G26">
        <v>0</v>
      </c>
      <c r="I26">
        <v>0</v>
      </c>
      <c r="J26">
        <v>0</v>
      </c>
      <c r="K26">
        <v>33</v>
      </c>
      <c r="L26">
        <v>4748721</v>
      </c>
      <c r="M26" t="s">
        <v>73</v>
      </c>
      <c r="N26">
        <v>4</v>
      </c>
      <c r="O26">
        <v>1011039</v>
      </c>
      <c r="P26" t="s">
        <v>74</v>
      </c>
      <c r="Q26">
        <v>2</v>
      </c>
      <c r="R26">
        <v>19828</v>
      </c>
    </row>
    <row r="27" spans="1:18" x14ac:dyDescent="0.2">
      <c r="A27" t="s">
        <v>75</v>
      </c>
      <c r="C27">
        <v>0</v>
      </c>
      <c r="D27">
        <v>0</v>
      </c>
      <c r="F27">
        <v>0</v>
      </c>
      <c r="G27">
        <v>0</v>
      </c>
      <c r="I27">
        <v>0</v>
      </c>
      <c r="J27">
        <v>0</v>
      </c>
      <c r="K27">
        <v>2</v>
      </c>
      <c r="L27">
        <v>18610214</v>
      </c>
      <c r="N27">
        <v>0</v>
      </c>
      <c r="O27">
        <v>0</v>
      </c>
      <c r="Q27">
        <v>0</v>
      </c>
      <c r="R27">
        <v>0</v>
      </c>
    </row>
    <row r="28" spans="1:18" x14ac:dyDescent="0.2">
      <c r="A28" t="s">
        <v>76</v>
      </c>
      <c r="C28">
        <v>0</v>
      </c>
      <c r="D28">
        <v>0</v>
      </c>
      <c r="F28">
        <v>0</v>
      </c>
      <c r="G28">
        <v>0</v>
      </c>
      <c r="I28">
        <v>0</v>
      </c>
      <c r="J28">
        <v>0</v>
      </c>
      <c r="K28">
        <v>11</v>
      </c>
      <c r="L28">
        <v>2231334</v>
      </c>
      <c r="M28" t="s">
        <v>77</v>
      </c>
      <c r="N28">
        <v>2</v>
      </c>
      <c r="O28">
        <v>59754</v>
      </c>
      <c r="Q28">
        <v>0</v>
      </c>
      <c r="R28">
        <v>0</v>
      </c>
    </row>
    <row r="29" spans="1:18" x14ac:dyDescent="0.2">
      <c r="A29" t="s">
        <v>78</v>
      </c>
      <c r="C29">
        <v>0</v>
      </c>
      <c r="D29">
        <v>0</v>
      </c>
      <c r="F29">
        <v>0</v>
      </c>
      <c r="G29">
        <v>0</v>
      </c>
      <c r="I29">
        <v>0</v>
      </c>
      <c r="J29">
        <v>0</v>
      </c>
      <c r="K29">
        <v>19</v>
      </c>
      <c r="L29">
        <v>783299</v>
      </c>
      <c r="N29">
        <v>0</v>
      </c>
      <c r="O29">
        <v>0</v>
      </c>
      <c r="Q29">
        <v>0</v>
      </c>
      <c r="R29">
        <v>0</v>
      </c>
    </row>
    <row r="30" spans="1:18" x14ac:dyDescent="0.2">
      <c r="A30" t="s">
        <v>79</v>
      </c>
      <c r="C30">
        <v>0</v>
      </c>
      <c r="D30">
        <v>0</v>
      </c>
      <c r="F30">
        <v>0</v>
      </c>
      <c r="G30">
        <v>0</v>
      </c>
      <c r="I30">
        <v>0</v>
      </c>
      <c r="J30">
        <v>0</v>
      </c>
      <c r="K30">
        <v>31</v>
      </c>
      <c r="L30">
        <v>350433</v>
      </c>
      <c r="M30" t="s">
        <v>80</v>
      </c>
      <c r="N30">
        <v>3</v>
      </c>
      <c r="O30">
        <v>40915</v>
      </c>
      <c r="Q30">
        <v>0</v>
      </c>
      <c r="R30">
        <v>0</v>
      </c>
    </row>
    <row r="31" spans="1:18" x14ac:dyDescent="0.2">
      <c r="A31" t="s">
        <v>81</v>
      </c>
      <c r="C31">
        <v>0</v>
      </c>
      <c r="D31">
        <v>0</v>
      </c>
      <c r="F31">
        <v>0</v>
      </c>
      <c r="G31">
        <v>0</v>
      </c>
      <c r="I31">
        <v>0</v>
      </c>
      <c r="J31">
        <v>0</v>
      </c>
      <c r="K31">
        <v>6</v>
      </c>
      <c r="L31">
        <v>2942280</v>
      </c>
      <c r="N31">
        <v>0</v>
      </c>
      <c r="O31">
        <v>0</v>
      </c>
      <c r="Q31">
        <v>0</v>
      </c>
      <c r="R31">
        <v>0</v>
      </c>
    </row>
    <row r="35" spans="1:18" x14ac:dyDescent="0.2">
      <c r="A35" t="s">
        <v>47</v>
      </c>
      <c r="B35" t="s">
        <v>48</v>
      </c>
      <c r="C35">
        <v>1</v>
      </c>
      <c r="D35">
        <v>1734</v>
      </c>
      <c r="F35">
        <v>0</v>
      </c>
      <c r="G35">
        <v>0</v>
      </c>
      <c r="I35">
        <v>0</v>
      </c>
      <c r="J35">
        <v>0</v>
      </c>
      <c r="K35">
        <v>19</v>
      </c>
      <c r="L35">
        <v>2462260</v>
      </c>
      <c r="M35" t="s">
        <v>49</v>
      </c>
      <c r="N35">
        <v>1</v>
      </c>
      <c r="O35">
        <v>5019</v>
      </c>
      <c r="P35" t="s">
        <v>50</v>
      </c>
      <c r="Q35">
        <v>1</v>
      </c>
      <c r="R35">
        <v>24451</v>
      </c>
    </row>
    <row r="36" spans="1:18" x14ac:dyDescent="0.2">
      <c r="A36" t="s">
        <v>63</v>
      </c>
      <c r="B36" t="s">
        <v>64</v>
      </c>
      <c r="C36">
        <v>7</v>
      </c>
      <c r="D36">
        <v>77313</v>
      </c>
      <c r="F36">
        <v>0</v>
      </c>
      <c r="G36">
        <v>0</v>
      </c>
      <c r="I36">
        <v>0</v>
      </c>
      <c r="J36">
        <v>0</v>
      </c>
      <c r="K36">
        <v>40</v>
      </c>
      <c r="L36">
        <v>113753211</v>
      </c>
      <c r="M36" t="s">
        <v>65</v>
      </c>
      <c r="N36">
        <v>5</v>
      </c>
      <c r="O36">
        <v>77308</v>
      </c>
      <c r="Q36">
        <v>0</v>
      </c>
      <c r="R36">
        <v>0</v>
      </c>
    </row>
    <row r="37" spans="1:18" x14ac:dyDescent="0.2">
      <c r="A37" t="s">
        <v>42</v>
      </c>
      <c r="C37">
        <v>0</v>
      </c>
      <c r="D37">
        <v>0</v>
      </c>
      <c r="F37">
        <v>0</v>
      </c>
      <c r="G37">
        <v>0</v>
      </c>
      <c r="I37">
        <v>0</v>
      </c>
      <c r="J37">
        <v>0</v>
      </c>
      <c r="K37">
        <v>16</v>
      </c>
      <c r="L37">
        <v>225921666</v>
      </c>
      <c r="N37">
        <v>0</v>
      </c>
      <c r="O37">
        <v>0</v>
      </c>
      <c r="Q37">
        <v>0</v>
      </c>
      <c r="R37">
        <v>0</v>
      </c>
    </row>
    <row r="38" spans="1:18" x14ac:dyDescent="0.2">
      <c r="A38" t="s">
        <v>46</v>
      </c>
      <c r="C38">
        <v>0</v>
      </c>
      <c r="D38">
        <v>0</v>
      </c>
      <c r="F38">
        <v>0</v>
      </c>
      <c r="G38">
        <v>0</v>
      </c>
      <c r="I38">
        <v>0</v>
      </c>
      <c r="J38">
        <v>0</v>
      </c>
      <c r="K38">
        <v>20</v>
      </c>
      <c r="L38">
        <v>654141210</v>
      </c>
      <c r="N38">
        <v>0</v>
      </c>
      <c r="O38">
        <v>0</v>
      </c>
      <c r="Q38">
        <v>0</v>
      </c>
      <c r="R38">
        <v>0</v>
      </c>
    </row>
    <row r="41" spans="1:18" x14ac:dyDescent="0.2">
      <c r="A41" s="1"/>
      <c r="B41" s="1" t="s">
        <v>89</v>
      </c>
      <c r="C41" s="1" t="s">
        <v>90</v>
      </c>
      <c r="D41" s="1" t="s">
        <v>91</v>
      </c>
      <c r="E41" s="1" t="s">
        <v>92</v>
      </c>
      <c r="F41" s="1" t="s">
        <v>93</v>
      </c>
      <c r="G41" s="1"/>
      <c r="H41" s="1"/>
      <c r="I41" s="1"/>
    </row>
    <row r="42" spans="1:18" x14ac:dyDescent="0.2">
      <c r="A42" t="s">
        <v>82</v>
      </c>
      <c r="B42" t="s">
        <v>83</v>
      </c>
      <c r="D42" t="s">
        <v>84</v>
      </c>
      <c r="E42" t="s">
        <v>85</v>
      </c>
      <c r="G42" t="s">
        <v>86</v>
      </c>
      <c r="H42" t="s">
        <v>87</v>
      </c>
    </row>
    <row r="43" spans="1:18" x14ac:dyDescent="0.2">
      <c r="A43">
        <v>13</v>
      </c>
      <c r="B43">
        <v>686356</v>
      </c>
      <c r="D43">
        <v>4</v>
      </c>
      <c r="E43">
        <v>153897</v>
      </c>
      <c r="G43">
        <f t="shared" ref="G43:G51" si="0">I2+Q2</f>
        <v>0</v>
      </c>
      <c r="H43">
        <f t="shared" ref="H43:H51" si="1">R2+J2</f>
        <v>0</v>
      </c>
    </row>
    <row r="44" spans="1:18" x14ac:dyDescent="0.2">
      <c r="A44">
        <v>50</v>
      </c>
      <c r="B44">
        <v>26974362</v>
      </c>
      <c r="D44">
        <v>6</v>
      </c>
      <c r="E44">
        <v>2693427</v>
      </c>
      <c r="G44">
        <f t="shared" si="0"/>
        <v>0</v>
      </c>
      <c r="H44">
        <f t="shared" si="1"/>
        <v>0</v>
      </c>
    </row>
    <row r="45" spans="1:18" x14ac:dyDescent="0.2">
      <c r="A45">
        <v>6</v>
      </c>
      <c r="B45">
        <v>225381</v>
      </c>
      <c r="D45">
        <v>1</v>
      </c>
      <c r="E45">
        <v>9885</v>
      </c>
      <c r="G45">
        <f t="shared" si="0"/>
        <v>0</v>
      </c>
      <c r="H45">
        <f t="shared" si="1"/>
        <v>0</v>
      </c>
    </row>
    <row r="46" spans="1:18" x14ac:dyDescent="0.2">
      <c r="A46">
        <v>127</v>
      </c>
      <c r="B46">
        <v>47812089</v>
      </c>
      <c r="D46">
        <v>14</v>
      </c>
      <c r="E46">
        <v>283753</v>
      </c>
      <c r="G46">
        <f t="shared" si="0"/>
        <v>5</v>
      </c>
      <c r="H46">
        <f t="shared" si="1"/>
        <v>48230</v>
      </c>
    </row>
    <row r="47" spans="1:18" x14ac:dyDescent="0.2">
      <c r="A47">
        <v>26</v>
      </c>
      <c r="B47">
        <v>6684968</v>
      </c>
      <c r="D47">
        <v>1</v>
      </c>
      <c r="E47">
        <v>4432</v>
      </c>
      <c r="G47">
        <f t="shared" si="0"/>
        <v>0</v>
      </c>
      <c r="H47">
        <f t="shared" si="1"/>
        <v>0</v>
      </c>
    </row>
    <row r="48" spans="1:18" x14ac:dyDescent="0.2">
      <c r="A48">
        <v>5</v>
      </c>
      <c r="B48">
        <v>1957931</v>
      </c>
      <c r="D48">
        <v>0</v>
      </c>
      <c r="E48">
        <v>0</v>
      </c>
      <c r="G48">
        <f t="shared" si="0"/>
        <v>0</v>
      </c>
      <c r="H48">
        <f t="shared" si="1"/>
        <v>0</v>
      </c>
    </row>
    <row r="49" spans="1:8" x14ac:dyDescent="0.2">
      <c r="A49">
        <v>2</v>
      </c>
      <c r="B49">
        <v>254950</v>
      </c>
      <c r="D49">
        <v>1</v>
      </c>
      <c r="E49">
        <v>112234</v>
      </c>
      <c r="G49">
        <f t="shared" si="0"/>
        <v>1</v>
      </c>
      <c r="H49">
        <f t="shared" si="1"/>
        <v>1872</v>
      </c>
    </row>
    <row r="50" spans="1:8" x14ac:dyDescent="0.2">
      <c r="A50">
        <v>24</v>
      </c>
      <c r="B50">
        <v>1275503</v>
      </c>
      <c r="D50">
        <v>1</v>
      </c>
      <c r="E50">
        <v>1158</v>
      </c>
      <c r="G50">
        <f t="shared" si="0"/>
        <v>1</v>
      </c>
      <c r="H50">
        <f t="shared" si="1"/>
        <v>48351</v>
      </c>
    </row>
    <row r="51" spans="1:8" x14ac:dyDescent="0.2">
      <c r="A51">
        <v>11</v>
      </c>
      <c r="B51">
        <v>451032</v>
      </c>
      <c r="D51">
        <v>0</v>
      </c>
      <c r="E51">
        <v>0</v>
      </c>
      <c r="G51">
        <f t="shared" si="0"/>
        <v>0</v>
      </c>
      <c r="H51">
        <f t="shared" si="1"/>
        <v>0</v>
      </c>
    </row>
    <row r="52" spans="1:8" x14ac:dyDescent="0.2">
      <c r="A52">
        <v>16</v>
      </c>
      <c r="B52">
        <v>225921666</v>
      </c>
      <c r="D52">
        <v>0</v>
      </c>
      <c r="E52">
        <v>0</v>
      </c>
      <c r="G52">
        <f>I37+Q37</f>
        <v>0</v>
      </c>
      <c r="H52">
        <f>R37+J37</f>
        <v>0</v>
      </c>
    </row>
    <row r="53" spans="1:8" x14ac:dyDescent="0.2">
      <c r="A53">
        <v>4</v>
      </c>
      <c r="B53">
        <v>102447</v>
      </c>
      <c r="D53">
        <v>0</v>
      </c>
      <c r="E53">
        <v>0</v>
      </c>
      <c r="G53">
        <f>I12+Q12</f>
        <v>0</v>
      </c>
      <c r="H53">
        <f>R12+J12</f>
        <v>0</v>
      </c>
    </row>
    <row r="54" spans="1:8" x14ac:dyDescent="0.2">
      <c r="A54">
        <v>13</v>
      </c>
      <c r="B54">
        <v>2184123</v>
      </c>
      <c r="D54">
        <v>0</v>
      </c>
      <c r="E54">
        <v>0</v>
      </c>
      <c r="G54">
        <f>I13+Q13</f>
        <v>0</v>
      </c>
      <c r="H54">
        <f>R13+J13</f>
        <v>0</v>
      </c>
    </row>
    <row r="55" spans="1:8" x14ac:dyDescent="0.2">
      <c r="A55">
        <v>20</v>
      </c>
      <c r="B55">
        <v>654141210</v>
      </c>
      <c r="D55">
        <v>0</v>
      </c>
      <c r="E55">
        <v>0</v>
      </c>
      <c r="G55">
        <f>I38+Q38</f>
        <v>0</v>
      </c>
      <c r="H55">
        <f>R38+J38</f>
        <v>0</v>
      </c>
    </row>
    <row r="56" spans="1:8" x14ac:dyDescent="0.2">
      <c r="A56">
        <v>20</v>
      </c>
      <c r="B56">
        <v>2463994</v>
      </c>
      <c r="D56">
        <v>1</v>
      </c>
      <c r="E56">
        <v>5019</v>
      </c>
      <c r="G56">
        <f>I35+Q35</f>
        <v>1</v>
      </c>
      <c r="H56">
        <f>R35+J35</f>
        <v>24451</v>
      </c>
    </row>
    <row r="57" spans="1:8" x14ac:dyDescent="0.2">
      <c r="A57">
        <v>17</v>
      </c>
      <c r="B57">
        <v>1630137</v>
      </c>
      <c r="D57">
        <v>0</v>
      </c>
      <c r="E57">
        <v>0</v>
      </c>
      <c r="G57">
        <f t="shared" ref="G57:G63" si="2">I16+Q16</f>
        <v>0</v>
      </c>
      <c r="H57">
        <f t="shared" ref="H57:H63" si="3">R16+J16</f>
        <v>0</v>
      </c>
    </row>
    <row r="58" spans="1:8" x14ac:dyDescent="0.2">
      <c r="A58">
        <v>10</v>
      </c>
      <c r="B58">
        <v>296121</v>
      </c>
      <c r="D58">
        <v>2</v>
      </c>
      <c r="E58">
        <v>2699</v>
      </c>
      <c r="G58">
        <f t="shared" si="2"/>
        <v>0</v>
      </c>
      <c r="H58">
        <f t="shared" si="3"/>
        <v>0</v>
      </c>
    </row>
    <row r="59" spans="1:8" x14ac:dyDescent="0.2">
      <c r="A59">
        <v>108</v>
      </c>
      <c r="B59">
        <v>47769229</v>
      </c>
      <c r="D59">
        <v>12</v>
      </c>
      <c r="E59">
        <v>510677</v>
      </c>
      <c r="G59">
        <f t="shared" si="2"/>
        <v>1</v>
      </c>
      <c r="H59">
        <f t="shared" si="3"/>
        <v>75835</v>
      </c>
    </row>
    <row r="60" spans="1:8" x14ac:dyDescent="0.2">
      <c r="A60">
        <v>1</v>
      </c>
      <c r="B60">
        <v>63501</v>
      </c>
      <c r="D60">
        <v>0</v>
      </c>
      <c r="E60">
        <v>0</v>
      </c>
      <c r="G60">
        <f t="shared" si="2"/>
        <v>0</v>
      </c>
      <c r="H60">
        <f t="shared" si="3"/>
        <v>0</v>
      </c>
    </row>
    <row r="61" spans="1:8" x14ac:dyDescent="0.2">
      <c r="A61">
        <v>2</v>
      </c>
      <c r="B61">
        <v>252873</v>
      </c>
      <c r="D61">
        <v>0</v>
      </c>
      <c r="E61">
        <v>0</v>
      </c>
      <c r="G61">
        <f t="shared" si="2"/>
        <v>0</v>
      </c>
      <c r="H61">
        <f t="shared" si="3"/>
        <v>0</v>
      </c>
    </row>
    <row r="62" spans="1:8" x14ac:dyDescent="0.2">
      <c r="A62">
        <v>7</v>
      </c>
      <c r="B62">
        <v>3017084</v>
      </c>
      <c r="D62">
        <v>0</v>
      </c>
      <c r="E62">
        <v>0</v>
      </c>
      <c r="G62">
        <f t="shared" si="2"/>
        <v>0</v>
      </c>
      <c r="H62">
        <f t="shared" si="3"/>
        <v>0</v>
      </c>
    </row>
    <row r="63" spans="1:8" x14ac:dyDescent="0.2">
      <c r="A63">
        <v>8</v>
      </c>
      <c r="B63">
        <v>506684</v>
      </c>
      <c r="D63">
        <v>0</v>
      </c>
      <c r="E63">
        <v>0</v>
      </c>
      <c r="G63">
        <f t="shared" si="2"/>
        <v>0</v>
      </c>
      <c r="H63">
        <f t="shared" si="3"/>
        <v>0</v>
      </c>
    </row>
    <row r="64" spans="1:8" x14ac:dyDescent="0.2">
      <c r="A64">
        <v>47</v>
      </c>
      <c r="B64">
        <v>113830524</v>
      </c>
      <c r="D64">
        <v>5</v>
      </c>
      <c r="E64">
        <v>77308</v>
      </c>
      <c r="G64">
        <f>I36+Q36</f>
        <v>0</v>
      </c>
      <c r="H64">
        <f>R36+J36</f>
        <v>0</v>
      </c>
    </row>
    <row r="65" spans="1:20" x14ac:dyDescent="0.2">
      <c r="A65">
        <v>9</v>
      </c>
      <c r="B65">
        <v>12342173</v>
      </c>
      <c r="D65">
        <v>4</v>
      </c>
      <c r="E65">
        <v>4108</v>
      </c>
      <c r="G65">
        <f t="shared" ref="G65:G72" si="4">I24+Q24</f>
        <v>0</v>
      </c>
      <c r="H65">
        <f t="shared" ref="H65:H72" si="5">R24+J24</f>
        <v>0</v>
      </c>
    </row>
    <row r="66" spans="1:20" x14ac:dyDescent="0.2">
      <c r="A66">
        <v>117</v>
      </c>
      <c r="B66">
        <v>79428763</v>
      </c>
      <c r="D66">
        <v>26</v>
      </c>
      <c r="E66">
        <v>519126</v>
      </c>
      <c r="G66">
        <f t="shared" si="4"/>
        <v>2</v>
      </c>
      <c r="H66">
        <f t="shared" si="5"/>
        <v>92367</v>
      </c>
    </row>
    <row r="67" spans="1:20" x14ac:dyDescent="0.2">
      <c r="A67">
        <v>33</v>
      </c>
      <c r="B67">
        <v>4748721</v>
      </c>
      <c r="D67">
        <v>4</v>
      </c>
      <c r="E67">
        <v>1011039</v>
      </c>
      <c r="G67">
        <f t="shared" si="4"/>
        <v>2</v>
      </c>
      <c r="H67">
        <f t="shared" si="5"/>
        <v>19828</v>
      </c>
      <c r="T67" t="s">
        <v>88</v>
      </c>
    </row>
    <row r="68" spans="1:20" x14ac:dyDescent="0.2">
      <c r="A68">
        <v>2</v>
      </c>
      <c r="B68">
        <v>18610214</v>
      </c>
      <c r="D68">
        <v>0</v>
      </c>
      <c r="E68">
        <v>0</v>
      </c>
      <c r="G68">
        <f t="shared" si="4"/>
        <v>0</v>
      </c>
      <c r="H68">
        <f t="shared" si="5"/>
        <v>0</v>
      </c>
    </row>
    <row r="69" spans="1:20" x14ac:dyDescent="0.2">
      <c r="A69">
        <v>11</v>
      </c>
      <c r="B69">
        <v>2231334</v>
      </c>
      <c r="D69">
        <v>2</v>
      </c>
      <c r="E69">
        <v>59754</v>
      </c>
      <c r="G69">
        <f t="shared" si="4"/>
        <v>0</v>
      </c>
      <c r="H69">
        <f t="shared" si="5"/>
        <v>0</v>
      </c>
    </row>
    <row r="70" spans="1:20" x14ac:dyDescent="0.2">
      <c r="A70">
        <v>19</v>
      </c>
      <c r="B70">
        <v>783299</v>
      </c>
      <c r="D70">
        <v>0</v>
      </c>
      <c r="E70">
        <v>0</v>
      </c>
      <c r="G70">
        <f t="shared" si="4"/>
        <v>0</v>
      </c>
      <c r="H70">
        <f t="shared" si="5"/>
        <v>0</v>
      </c>
    </row>
    <row r="71" spans="1:20" x14ac:dyDescent="0.2">
      <c r="A71">
        <v>31</v>
      </c>
      <c r="B71">
        <v>350433</v>
      </c>
      <c r="D71">
        <v>3</v>
      </c>
      <c r="E71">
        <v>40915</v>
      </c>
      <c r="G71">
        <f t="shared" si="4"/>
        <v>0</v>
      </c>
      <c r="H71">
        <f t="shared" si="5"/>
        <v>0</v>
      </c>
    </row>
    <row r="72" spans="1:20" x14ac:dyDescent="0.2">
      <c r="A72">
        <v>6</v>
      </c>
      <c r="B72">
        <v>2942280</v>
      </c>
      <c r="D72">
        <v>0</v>
      </c>
      <c r="E72">
        <v>0</v>
      </c>
      <c r="G72">
        <f t="shared" si="4"/>
        <v>0</v>
      </c>
      <c r="H72">
        <f t="shared" si="5"/>
        <v>0</v>
      </c>
    </row>
  </sheetData>
  <dataConsolidate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R105"/>
  <sheetViews>
    <sheetView topLeftCell="E1" workbookViewId="0">
      <selection activeCell="A2" sqref="A2:A31"/>
    </sheetView>
  </sheetViews>
  <sheetFormatPr baseColWidth="10" defaultRowHeight="16" x14ac:dyDescent="0.2"/>
  <cols>
    <col min="1" max="1" width="45.33203125" customWidth="1"/>
    <col min="2" max="2" width="80.6640625" bestFit="1" customWidth="1"/>
    <col min="3" max="3" width="9.6640625" bestFit="1" customWidth="1"/>
    <col min="4" max="4" width="12.6640625" bestFit="1" customWidth="1"/>
    <col min="5" max="5" width="80.6640625" bestFit="1" customWidth="1"/>
    <col min="6" max="6" width="6.1640625" bestFit="1" customWidth="1"/>
    <col min="7" max="7" width="9.1640625" bestFit="1" customWidth="1"/>
    <col min="8" max="8" width="23.33203125" bestFit="1" customWidth="1"/>
    <col min="10" max="10" width="13.83203125" bestFit="1" customWidth="1"/>
    <col min="11" max="11" width="18.6640625" bestFit="1" customWidth="1"/>
    <col min="12" max="12" width="21.83203125" bestFit="1" customWidth="1"/>
    <col min="13" max="13" width="80.6640625" bestFit="1" customWidth="1"/>
    <col min="14" max="14" width="15" bestFit="1" customWidth="1"/>
    <col min="15" max="15" width="18.1640625" bestFit="1" customWidth="1"/>
    <col min="16" max="16" width="80.6640625" bestFit="1" customWidth="1"/>
    <col min="17" max="17" width="19.83203125" bestFit="1" customWidth="1"/>
    <col min="18" max="18" width="23" bestFit="1" customWidth="1"/>
  </cols>
  <sheetData>
    <row r="1" spans="1:18" x14ac:dyDescent="0.2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2">
      <c r="A2" s="2" t="s">
        <v>94</v>
      </c>
      <c r="C2">
        <v>0</v>
      </c>
      <c r="D2">
        <v>0</v>
      </c>
      <c r="F2">
        <v>0</v>
      </c>
      <c r="G2">
        <v>0</v>
      </c>
      <c r="I2">
        <v>0</v>
      </c>
      <c r="J2">
        <v>0</v>
      </c>
      <c r="K2">
        <v>13</v>
      </c>
      <c r="L2">
        <v>144167</v>
      </c>
      <c r="N2">
        <v>0</v>
      </c>
      <c r="O2">
        <v>0</v>
      </c>
      <c r="Q2">
        <v>0</v>
      </c>
      <c r="R2">
        <v>0</v>
      </c>
    </row>
    <row r="3" spans="1:18" x14ac:dyDescent="0.2">
      <c r="A3" s="2" t="s">
        <v>95</v>
      </c>
      <c r="B3" t="s">
        <v>96</v>
      </c>
      <c r="C3">
        <v>3</v>
      </c>
      <c r="D3">
        <v>1457</v>
      </c>
      <c r="F3">
        <v>0</v>
      </c>
      <c r="G3">
        <v>0</v>
      </c>
      <c r="I3">
        <v>0</v>
      </c>
      <c r="J3">
        <v>0</v>
      </c>
      <c r="K3">
        <v>64</v>
      </c>
      <c r="L3">
        <v>51742422</v>
      </c>
      <c r="M3" t="s">
        <v>97</v>
      </c>
      <c r="N3">
        <v>4</v>
      </c>
      <c r="O3">
        <v>515933</v>
      </c>
      <c r="P3" t="s">
        <v>98</v>
      </c>
      <c r="Q3">
        <v>1</v>
      </c>
      <c r="R3">
        <v>82314</v>
      </c>
    </row>
    <row r="4" spans="1:18" x14ac:dyDescent="0.2">
      <c r="A4" s="2" t="s">
        <v>99</v>
      </c>
      <c r="C4">
        <v>0</v>
      </c>
      <c r="D4">
        <v>0</v>
      </c>
      <c r="F4">
        <v>0</v>
      </c>
      <c r="G4">
        <v>0</v>
      </c>
      <c r="I4">
        <v>0</v>
      </c>
      <c r="J4">
        <v>0</v>
      </c>
      <c r="K4">
        <v>24</v>
      </c>
      <c r="L4">
        <v>5361573</v>
      </c>
      <c r="M4" t="s">
        <v>100</v>
      </c>
      <c r="N4">
        <v>1</v>
      </c>
      <c r="O4">
        <v>1542</v>
      </c>
      <c r="P4" t="s">
        <v>101</v>
      </c>
      <c r="Q4">
        <v>1</v>
      </c>
      <c r="R4">
        <v>1542</v>
      </c>
    </row>
    <row r="5" spans="1:18" x14ac:dyDescent="0.2">
      <c r="A5" s="2" t="s">
        <v>102</v>
      </c>
      <c r="C5">
        <v>0</v>
      </c>
      <c r="D5">
        <v>0</v>
      </c>
      <c r="F5">
        <v>0</v>
      </c>
      <c r="G5">
        <v>0</v>
      </c>
      <c r="I5">
        <v>0</v>
      </c>
      <c r="J5">
        <v>0</v>
      </c>
      <c r="K5">
        <v>3</v>
      </c>
      <c r="L5">
        <v>1540</v>
      </c>
      <c r="M5" t="s">
        <v>103</v>
      </c>
      <c r="N5">
        <v>1</v>
      </c>
      <c r="O5">
        <v>486</v>
      </c>
      <c r="Q5">
        <v>0</v>
      </c>
      <c r="R5">
        <v>0</v>
      </c>
    </row>
    <row r="6" spans="1:18" x14ac:dyDescent="0.2">
      <c r="A6" s="2" t="s">
        <v>104</v>
      </c>
      <c r="B6" t="s">
        <v>105</v>
      </c>
      <c r="C6">
        <v>3</v>
      </c>
      <c r="D6">
        <v>4277</v>
      </c>
      <c r="F6">
        <v>0</v>
      </c>
      <c r="G6">
        <v>0</v>
      </c>
      <c r="I6">
        <v>0</v>
      </c>
      <c r="J6">
        <v>0</v>
      </c>
      <c r="K6">
        <v>23</v>
      </c>
      <c r="L6">
        <v>3530483</v>
      </c>
      <c r="M6" t="s">
        <v>106</v>
      </c>
      <c r="N6">
        <v>2</v>
      </c>
      <c r="O6">
        <v>233692</v>
      </c>
      <c r="Q6">
        <v>0</v>
      </c>
      <c r="R6">
        <v>0</v>
      </c>
    </row>
    <row r="7" spans="1:18" x14ac:dyDescent="0.2">
      <c r="A7" s="2" t="s">
        <v>107</v>
      </c>
      <c r="B7" t="s">
        <v>108</v>
      </c>
      <c r="C7">
        <v>3</v>
      </c>
      <c r="D7">
        <v>9781</v>
      </c>
      <c r="E7" t="s">
        <v>109</v>
      </c>
      <c r="F7">
        <v>2</v>
      </c>
      <c r="G7">
        <v>2004</v>
      </c>
      <c r="H7" t="s">
        <v>101</v>
      </c>
      <c r="I7">
        <v>1</v>
      </c>
      <c r="J7">
        <v>490</v>
      </c>
      <c r="K7">
        <v>58</v>
      </c>
      <c r="L7">
        <v>20600427</v>
      </c>
      <c r="M7" t="s">
        <v>110</v>
      </c>
      <c r="N7">
        <v>9</v>
      </c>
      <c r="O7">
        <v>2119719</v>
      </c>
      <c r="P7" t="s">
        <v>98</v>
      </c>
      <c r="Q7">
        <v>1</v>
      </c>
      <c r="R7">
        <v>97301</v>
      </c>
    </row>
    <row r="8" spans="1:18" x14ac:dyDescent="0.2">
      <c r="A8" s="2" t="s">
        <v>111</v>
      </c>
      <c r="C8">
        <v>0</v>
      </c>
      <c r="D8">
        <v>0</v>
      </c>
      <c r="F8">
        <v>0</v>
      </c>
      <c r="G8">
        <v>0</v>
      </c>
      <c r="I8">
        <v>0</v>
      </c>
      <c r="J8">
        <v>0</v>
      </c>
      <c r="K8">
        <v>25</v>
      </c>
      <c r="L8">
        <v>22217202</v>
      </c>
      <c r="M8" t="s">
        <v>112</v>
      </c>
      <c r="N8">
        <v>3</v>
      </c>
      <c r="O8">
        <v>149545</v>
      </c>
      <c r="Q8">
        <v>0</v>
      </c>
      <c r="R8">
        <v>0</v>
      </c>
    </row>
    <row r="9" spans="1:18" x14ac:dyDescent="0.2">
      <c r="A9" s="2" t="s">
        <v>113</v>
      </c>
      <c r="C9">
        <v>0</v>
      </c>
      <c r="D9">
        <v>0</v>
      </c>
      <c r="F9">
        <v>0</v>
      </c>
      <c r="G9">
        <v>0</v>
      </c>
      <c r="I9">
        <v>0</v>
      </c>
      <c r="J9">
        <v>0</v>
      </c>
      <c r="K9">
        <v>52</v>
      </c>
      <c r="L9">
        <v>59297599</v>
      </c>
      <c r="M9" t="s">
        <v>114</v>
      </c>
      <c r="N9">
        <v>12</v>
      </c>
      <c r="O9">
        <v>2441233</v>
      </c>
      <c r="P9" t="s">
        <v>115</v>
      </c>
      <c r="Q9">
        <v>2</v>
      </c>
      <c r="R9">
        <v>148476</v>
      </c>
    </row>
    <row r="10" spans="1:18" x14ac:dyDescent="0.2">
      <c r="A10" s="2" t="s">
        <v>116</v>
      </c>
      <c r="C10">
        <v>0</v>
      </c>
      <c r="D10">
        <v>0</v>
      </c>
      <c r="F10">
        <v>0</v>
      </c>
      <c r="G10">
        <v>0</v>
      </c>
      <c r="I10">
        <v>0</v>
      </c>
      <c r="J10">
        <v>0</v>
      </c>
      <c r="K10">
        <v>47</v>
      </c>
      <c r="L10">
        <v>26797068</v>
      </c>
      <c r="M10" t="s">
        <v>117</v>
      </c>
      <c r="N10">
        <v>4</v>
      </c>
      <c r="O10">
        <v>4390365</v>
      </c>
      <c r="P10" t="s">
        <v>98</v>
      </c>
      <c r="Q10">
        <v>1</v>
      </c>
      <c r="R10">
        <v>795</v>
      </c>
    </row>
    <row r="11" spans="1:18" x14ac:dyDescent="0.2">
      <c r="A11" s="2" t="s">
        <v>118</v>
      </c>
      <c r="C11">
        <v>0</v>
      </c>
      <c r="D11">
        <v>0</v>
      </c>
      <c r="F11">
        <v>0</v>
      </c>
      <c r="G11">
        <v>0</v>
      </c>
      <c r="I11">
        <v>0</v>
      </c>
      <c r="J11">
        <v>0</v>
      </c>
      <c r="K11">
        <v>27</v>
      </c>
      <c r="L11">
        <v>128362304</v>
      </c>
      <c r="N11">
        <v>0</v>
      </c>
      <c r="O11">
        <v>0</v>
      </c>
      <c r="P11" t="s">
        <v>119</v>
      </c>
      <c r="Q11">
        <v>1</v>
      </c>
      <c r="R11">
        <v>96561</v>
      </c>
    </row>
    <row r="12" spans="1:18" x14ac:dyDescent="0.2">
      <c r="A12" s="2" t="s">
        <v>120</v>
      </c>
      <c r="B12" t="s">
        <v>121</v>
      </c>
      <c r="C12">
        <v>7</v>
      </c>
      <c r="D12">
        <v>64538</v>
      </c>
      <c r="E12" t="s">
        <v>109</v>
      </c>
      <c r="F12">
        <v>3</v>
      </c>
      <c r="G12">
        <v>29218</v>
      </c>
      <c r="H12" t="s">
        <v>101</v>
      </c>
      <c r="I12">
        <v>2</v>
      </c>
      <c r="J12">
        <v>21648</v>
      </c>
      <c r="K12">
        <v>69</v>
      </c>
      <c r="L12">
        <v>23691466</v>
      </c>
      <c r="M12" t="s">
        <v>122</v>
      </c>
      <c r="N12">
        <v>12</v>
      </c>
      <c r="O12">
        <v>3253963</v>
      </c>
      <c r="P12" t="s">
        <v>123</v>
      </c>
      <c r="Q12">
        <v>2</v>
      </c>
      <c r="R12">
        <v>101184</v>
      </c>
    </row>
    <row r="13" spans="1:18" x14ac:dyDescent="0.2">
      <c r="A13" s="2" t="s">
        <v>124</v>
      </c>
      <c r="C13">
        <v>0</v>
      </c>
      <c r="D13">
        <v>0</v>
      </c>
      <c r="F13">
        <v>0</v>
      </c>
      <c r="G13">
        <v>0</v>
      </c>
      <c r="I13">
        <v>0</v>
      </c>
      <c r="J13">
        <v>0</v>
      </c>
      <c r="K13">
        <v>17</v>
      </c>
      <c r="L13">
        <v>316735</v>
      </c>
      <c r="M13" t="s">
        <v>125</v>
      </c>
      <c r="N13">
        <v>1</v>
      </c>
      <c r="O13">
        <v>3392</v>
      </c>
      <c r="Q13">
        <v>0</v>
      </c>
      <c r="R13">
        <v>0</v>
      </c>
    </row>
    <row r="14" spans="1:18" x14ac:dyDescent="0.2">
      <c r="A14" s="2" t="s">
        <v>126</v>
      </c>
      <c r="C14">
        <v>0</v>
      </c>
      <c r="D14">
        <v>0</v>
      </c>
      <c r="F14">
        <v>0</v>
      </c>
      <c r="G14">
        <v>0</v>
      </c>
      <c r="I14">
        <v>0</v>
      </c>
      <c r="J14">
        <v>0</v>
      </c>
      <c r="K14">
        <v>19</v>
      </c>
      <c r="L14">
        <v>509492</v>
      </c>
      <c r="M14" t="s">
        <v>127</v>
      </c>
      <c r="N14">
        <v>1</v>
      </c>
      <c r="O14">
        <v>3837</v>
      </c>
      <c r="Q14">
        <v>0</v>
      </c>
      <c r="R14">
        <v>0</v>
      </c>
    </row>
    <row r="15" spans="1:18" x14ac:dyDescent="0.2">
      <c r="A15" s="2" t="s">
        <v>128</v>
      </c>
      <c r="C15">
        <v>0</v>
      </c>
      <c r="D15">
        <v>0</v>
      </c>
      <c r="F15">
        <v>0</v>
      </c>
      <c r="G15">
        <v>0</v>
      </c>
      <c r="I15">
        <v>0</v>
      </c>
      <c r="J15">
        <v>0</v>
      </c>
      <c r="K15">
        <v>36</v>
      </c>
      <c r="L15">
        <v>2683027</v>
      </c>
      <c r="M15" t="s">
        <v>129</v>
      </c>
      <c r="N15">
        <v>8</v>
      </c>
      <c r="O15">
        <v>1476815</v>
      </c>
      <c r="P15" t="s">
        <v>130</v>
      </c>
      <c r="Q15">
        <v>2</v>
      </c>
      <c r="R15">
        <v>730851</v>
      </c>
    </row>
    <row r="16" spans="1:18" x14ac:dyDescent="0.2">
      <c r="A16" s="2" t="s">
        <v>131</v>
      </c>
      <c r="C16">
        <v>0</v>
      </c>
      <c r="D16">
        <v>0</v>
      </c>
      <c r="F16">
        <v>0</v>
      </c>
      <c r="G16">
        <v>0</v>
      </c>
      <c r="I16">
        <v>0</v>
      </c>
      <c r="J16">
        <v>0</v>
      </c>
      <c r="K16">
        <v>29</v>
      </c>
      <c r="L16">
        <v>10098469</v>
      </c>
      <c r="M16" t="s">
        <v>132</v>
      </c>
      <c r="N16">
        <v>5</v>
      </c>
      <c r="O16">
        <v>4383814</v>
      </c>
      <c r="P16" t="s">
        <v>133</v>
      </c>
      <c r="Q16">
        <v>2</v>
      </c>
      <c r="R16">
        <v>22240</v>
      </c>
    </row>
    <row r="17" spans="1:18" x14ac:dyDescent="0.2">
      <c r="A17" s="2" t="s">
        <v>134</v>
      </c>
      <c r="B17" t="s">
        <v>121</v>
      </c>
      <c r="C17">
        <v>7</v>
      </c>
      <c r="D17">
        <v>65215</v>
      </c>
      <c r="E17" t="s">
        <v>135</v>
      </c>
      <c r="F17">
        <v>4</v>
      </c>
      <c r="G17">
        <v>27390</v>
      </c>
      <c r="H17" t="s">
        <v>101</v>
      </c>
      <c r="I17">
        <v>2</v>
      </c>
      <c r="J17">
        <v>24108</v>
      </c>
      <c r="K17">
        <v>100</v>
      </c>
      <c r="L17">
        <v>23462265</v>
      </c>
      <c r="M17" t="s">
        <v>136</v>
      </c>
      <c r="N17">
        <v>16</v>
      </c>
      <c r="O17">
        <v>2792400</v>
      </c>
      <c r="P17" t="s">
        <v>137</v>
      </c>
      <c r="Q17">
        <v>5</v>
      </c>
      <c r="R17">
        <v>410949</v>
      </c>
    </row>
    <row r="18" spans="1:18" x14ac:dyDescent="0.2">
      <c r="A18" s="2" t="s">
        <v>138</v>
      </c>
      <c r="B18" t="s">
        <v>139</v>
      </c>
      <c r="C18">
        <v>1</v>
      </c>
      <c r="D18">
        <v>5411</v>
      </c>
      <c r="E18" t="s">
        <v>140</v>
      </c>
      <c r="F18">
        <v>5</v>
      </c>
      <c r="G18">
        <v>6266</v>
      </c>
      <c r="H18" t="s">
        <v>101</v>
      </c>
      <c r="I18">
        <v>1</v>
      </c>
      <c r="J18">
        <v>1452</v>
      </c>
      <c r="K18">
        <v>46</v>
      </c>
      <c r="L18">
        <v>4186990</v>
      </c>
      <c r="M18" t="s">
        <v>141</v>
      </c>
      <c r="N18">
        <v>7</v>
      </c>
      <c r="O18">
        <v>1899306</v>
      </c>
      <c r="P18" t="s">
        <v>123</v>
      </c>
      <c r="Q18">
        <v>2</v>
      </c>
      <c r="R18">
        <v>103711</v>
      </c>
    </row>
    <row r="19" spans="1:18" x14ac:dyDescent="0.2">
      <c r="A19" s="2" t="s">
        <v>142</v>
      </c>
      <c r="C19">
        <v>0</v>
      </c>
      <c r="D19">
        <v>0</v>
      </c>
      <c r="F19">
        <v>0</v>
      </c>
      <c r="G19">
        <v>0</v>
      </c>
      <c r="I19">
        <v>0</v>
      </c>
      <c r="J19">
        <v>0</v>
      </c>
      <c r="K19">
        <v>34</v>
      </c>
      <c r="L19">
        <v>5595226</v>
      </c>
      <c r="M19" t="s">
        <v>143</v>
      </c>
      <c r="N19">
        <v>3</v>
      </c>
      <c r="O19">
        <v>2867209</v>
      </c>
      <c r="P19" t="s">
        <v>98</v>
      </c>
      <c r="Q19">
        <v>1</v>
      </c>
      <c r="R19">
        <v>295</v>
      </c>
    </row>
    <row r="20" spans="1:18" x14ac:dyDescent="0.2">
      <c r="A20" s="2" t="s">
        <v>144</v>
      </c>
      <c r="C20">
        <v>0</v>
      </c>
      <c r="D20">
        <v>0</v>
      </c>
      <c r="F20">
        <v>0</v>
      </c>
      <c r="G20">
        <v>0</v>
      </c>
      <c r="I20">
        <v>0</v>
      </c>
      <c r="J20">
        <v>0</v>
      </c>
      <c r="K20">
        <v>16</v>
      </c>
      <c r="L20">
        <v>7390527</v>
      </c>
      <c r="M20" t="s">
        <v>125</v>
      </c>
      <c r="N20">
        <v>1</v>
      </c>
      <c r="O20">
        <v>179493</v>
      </c>
      <c r="Q20">
        <v>0</v>
      </c>
      <c r="R20">
        <v>0</v>
      </c>
    </row>
    <row r="21" spans="1:18" x14ac:dyDescent="0.2">
      <c r="A21" s="2" t="s">
        <v>145</v>
      </c>
      <c r="C21">
        <v>0</v>
      </c>
      <c r="D21">
        <v>0</v>
      </c>
      <c r="F21">
        <v>0</v>
      </c>
      <c r="G21">
        <v>0</v>
      </c>
      <c r="I21">
        <v>0</v>
      </c>
      <c r="J21">
        <v>0</v>
      </c>
      <c r="K21">
        <v>30</v>
      </c>
      <c r="L21">
        <v>4922294</v>
      </c>
      <c r="M21" t="s">
        <v>146</v>
      </c>
      <c r="N21">
        <v>2</v>
      </c>
      <c r="O21">
        <v>229934</v>
      </c>
      <c r="P21" t="s">
        <v>98</v>
      </c>
      <c r="Q21">
        <v>1</v>
      </c>
      <c r="R21">
        <v>90836</v>
      </c>
    </row>
    <row r="22" spans="1:18" x14ac:dyDescent="0.2">
      <c r="A22" s="2" t="s">
        <v>147</v>
      </c>
      <c r="B22" t="s">
        <v>148</v>
      </c>
      <c r="C22">
        <v>10</v>
      </c>
      <c r="D22">
        <v>137007</v>
      </c>
      <c r="E22" t="s">
        <v>149</v>
      </c>
      <c r="F22">
        <v>14</v>
      </c>
      <c r="G22">
        <v>90361</v>
      </c>
      <c r="H22" t="s">
        <v>150</v>
      </c>
      <c r="I22">
        <v>3</v>
      </c>
      <c r="J22">
        <v>35115</v>
      </c>
      <c r="K22">
        <v>89</v>
      </c>
      <c r="L22">
        <v>33941336</v>
      </c>
      <c r="M22" t="s">
        <v>151</v>
      </c>
      <c r="N22">
        <v>15</v>
      </c>
      <c r="O22">
        <v>3833279</v>
      </c>
      <c r="P22" t="s">
        <v>152</v>
      </c>
      <c r="Q22">
        <v>4</v>
      </c>
      <c r="R22">
        <v>194701</v>
      </c>
    </row>
    <row r="23" spans="1:18" x14ac:dyDescent="0.2">
      <c r="A23" s="2" t="s">
        <v>153</v>
      </c>
      <c r="C23">
        <v>0</v>
      </c>
      <c r="D23">
        <v>0</v>
      </c>
      <c r="F23">
        <v>0</v>
      </c>
      <c r="G23">
        <v>0</v>
      </c>
      <c r="I23">
        <v>0</v>
      </c>
      <c r="J23">
        <v>0</v>
      </c>
      <c r="K23">
        <v>4</v>
      </c>
      <c r="L23">
        <v>3901970</v>
      </c>
      <c r="N23">
        <v>0</v>
      </c>
      <c r="O23">
        <v>0</v>
      </c>
      <c r="Q23">
        <v>0</v>
      </c>
      <c r="R23">
        <v>0</v>
      </c>
    </row>
    <row r="24" spans="1:18" x14ac:dyDescent="0.2">
      <c r="A24" s="2" t="s">
        <v>154</v>
      </c>
      <c r="C24">
        <v>0</v>
      </c>
      <c r="D24">
        <v>0</v>
      </c>
      <c r="F24">
        <v>0</v>
      </c>
      <c r="G24">
        <v>0</v>
      </c>
      <c r="I24">
        <v>0</v>
      </c>
      <c r="J24">
        <v>0</v>
      </c>
      <c r="K24">
        <v>54</v>
      </c>
      <c r="L24">
        <v>53979966</v>
      </c>
      <c r="M24" t="s">
        <v>155</v>
      </c>
      <c r="N24">
        <v>3</v>
      </c>
      <c r="O24">
        <v>535227</v>
      </c>
      <c r="P24" t="s">
        <v>123</v>
      </c>
      <c r="Q24">
        <v>2</v>
      </c>
      <c r="R24">
        <v>29687</v>
      </c>
    </row>
    <row r="25" spans="1:18" x14ac:dyDescent="0.2">
      <c r="A25" s="2" t="s">
        <v>156</v>
      </c>
      <c r="B25" t="s">
        <v>157</v>
      </c>
      <c r="C25">
        <v>1</v>
      </c>
      <c r="D25">
        <v>530</v>
      </c>
      <c r="E25" t="s">
        <v>158</v>
      </c>
      <c r="F25">
        <v>2</v>
      </c>
      <c r="G25">
        <v>1231</v>
      </c>
      <c r="H25" t="s">
        <v>101</v>
      </c>
      <c r="I25">
        <v>1</v>
      </c>
      <c r="J25">
        <v>984</v>
      </c>
      <c r="K25">
        <v>60</v>
      </c>
      <c r="L25">
        <v>36544647</v>
      </c>
      <c r="M25" t="s">
        <v>159</v>
      </c>
      <c r="N25">
        <v>12</v>
      </c>
      <c r="O25">
        <v>7578723</v>
      </c>
      <c r="P25" t="s">
        <v>160</v>
      </c>
      <c r="Q25">
        <v>3</v>
      </c>
      <c r="R25">
        <v>94891</v>
      </c>
    </row>
    <row r="26" spans="1:18" x14ac:dyDescent="0.2">
      <c r="A26" s="2" t="s">
        <v>161</v>
      </c>
      <c r="B26" t="s">
        <v>162</v>
      </c>
      <c r="C26">
        <v>1</v>
      </c>
      <c r="D26">
        <v>116947</v>
      </c>
      <c r="F26">
        <v>0</v>
      </c>
      <c r="G26">
        <v>0</v>
      </c>
      <c r="I26">
        <v>0</v>
      </c>
      <c r="J26">
        <v>0</v>
      </c>
      <c r="K26">
        <v>30</v>
      </c>
      <c r="L26">
        <v>11783734</v>
      </c>
      <c r="M26" t="s">
        <v>163</v>
      </c>
      <c r="N26">
        <v>1</v>
      </c>
      <c r="O26">
        <v>6450</v>
      </c>
      <c r="P26" t="s">
        <v>164</v>
      </c>
      <c r="Q26">
        <v>2</v>
      </c>
      <c r="R26">
        <v>170482406</v>
      </c>
    </row>
    <row r="27" spans="1:18" x14ac:dyDescent="0.2">
      <c r="A27" s="2" t="s">
        <v>165</v>
      </c>
      <c r="C27">
        <v>0</v>
      </c>
      <c r="D27">
        <v>0</v>
      </c>
      <c r="F27">
        <v>0</v>
      </c>
      <c r="G27">
        <v>0</v>
      </c>
      <c r="I27">
        <v>0</v>
      </c>
      <c r="J27">
        <v>0</v>
      </c>
      <c r="K27">
        <v>21</v>
      </c>
      <c r="L27">
        <v>8510948</v>
      </c>
      <c r="M27" t="s">
        <v>166</v>
      </c>
      <c r="N27">
        <v>3</v>
      </c>
      <c r="O27">
        <v>344657</v>
      </c>
      <c r="Q27">
        <v>0</v>
      </c>
      <c r="R27">
        <v>0</v>
      </c>
    </row>
    <row r="28" spans="1:18" x14ac:dyDescent="0.2">
      <c r="A28" s="2" t="s">
        <v>167</v>
      </c>
      <c r="C28">
        <v>0</v>
      </c>
      <c r="D28">
        <v>0</v>
      </c>
      <c r="F28">
        <v>0</v>
      </c>
      <c r="G28">
        <v>0</v>
      </c>
      <c r="I28">
        <v>0</v>
      </c>
      <c r="J28">
        <v>0</v>
      </c>
      <c r="K28">
        <v>44</v>
      </c>
      <c r="L28">
        <v>16624667</v>
      </c>
      <c r="M28" t="s">
        <v>168</v>
      </c>
      <c r="N28">
        <v>16</v>
      </c>
      <c r="O28">
        <v>12038966</v>
      </c>
      <c r="P28" t="s">
        <v>98</v>
      </c>
      <c r="Q28">
        <v>1</v>
      </c>
      <c r="R28">
        <v>915</v>
      </c>
    </row>
    <row r="29" spans="1:18" x14ac:dyDescent="0.2">
      <c r="A29" s="2" t="s">
        <v>169</v>
      </c>
      <c r="C29">
        <v>0</v>
      </c>
      <c r="D29">
        <v>0</v>
      </c>
      <c r="F29">
        <v>0</v>
      </c>
      <c r="G29">
        <v>0</v>
      </c>
      <c r="I29">
        <v>0</v>
      </c>
      <c r="J29">
        <v>0</v>
      </c>
      <c r="K29">
        <v>16</v>
      </c>
      <c r="L29">
        <v>76314</v>
      </c>
      <c r="M29" t="s">
        <v>170</v>
      </c>
      <c r="N29">
        <v>4</v>
      </c>
      <c r="O29">
        <v>191040</v>
      </c>
      <c r="P29" t="s">
        <v>98</v>
      </c>
      <c r="Q29">
        <v>1</v>
      </c>
      <c r="R29">
        <v>361</v>
      </c>
    </row>
    <row r="30" spans="1:18" x14ac:dyDescent="0.2">
      <c r="A30" s="2" t="s">
        <v>171</v>
      </c>
      <c r="B30" t="s">
        <v>172</v>
      </c>
      <c r="C30">
        <v>1</v>
      </c>
      <c r="D30">
        <v>1945</v>
      </c>
      <c r="F30">
        <v>0</v>
      </c>
      <c r="G30">
        <v>0</v>
      </c>
      <c r="I30">
        <v>0</v>
      </c>
      <c r="J30">
        <v>0</v>
      </c>
      <c r="K30">
        <v>7</v>
      </c>
      <c r="L30">
        <v>23118</v>
      </c>
      <c r="M30" t="s">
        <v>173</v>
      </c>
      <c r="N30">
        <v>1</v>
      </c>
      <c r="O30">
        <v>193</v>
      </c>
      <c r="Q30">
        <v>0</v>
      </c>
      <c r="R30">
        <v>0</v>
      </c>
    </row>
    <row r="31" spans="1:18" x14ac:dyDescent="0.2">
      <c r="A31" s="2" t="s">
        <v>174</v>
      </c>
      <c r="C31">
        <v>0</v>
      </c>
      <c r="D31">
        <v>0</v>
      </c>
      <c r="F31">
        <v>0</v>
      </c>
      <c r="G31">
        <v>0</v>
      </c>
      <c r="I31">
        <v>0</v>
      </c>
      <c r="J31">
        <v>0</v>
      </c>
      <c r="K31">
        <v>28</v>
      </c>
      <c r="L31">
        <v>24220912</v>
      </c>
      <c r="M31" t="s">
        <v>175</v>
      </c>
      <c r="N31">
        <v>3</v>
      </c>
      <c r="O31">
        <v>1383814</v>
      </c>
      <c r="P31" t="s">
        <v>98</v>
      </c>
      <c r="Q31">
        <v>1</v>
      </c>
      <c r="R31">
        <v>91113</v>
      </c>
    </row>
    <row r="33" spans="1:14" x14ac:dyDescent="0.2">
      <c r="A33" s="2" t="s">
        <v>176</v>
      </c>
    </row>
    <row r="34" spans="1:14" x14ac:dyDescent="0.2">
      <c r="A34" s="2" t="s">
        <v>82</v>
      </c>
      <c r="B34" t="s">
        <v>177</v>
      </c>
      <c r="H34" t="s">
        <v>84</v>
      </c>
      <c r="I34" t="s">
        <v>177</v>
      </c>
      <c r="M34" t="s">
        <v>86</v>
      </c>
      <c r="N34" t="s">
        <v>177</v>
      </c>
    </row>
    <row r="35" spans="1:14" x14ac:dyDescent="0.2">
      <c r="A35" s="2" t="s">
        <v>178</v>
      </c>
      <c r="B35">
        <v>144167</v>
      </c>
      <c r="H35">
        <v>0</v>
      </c>
      <c r="I35">
        <v>0</v>
      </c>
      <c r="M35">
        <v>0</v>
      </c>
      <c r="N35">
        <v>0</v>
      </c>
    </row>
    <row r="36" spans="1:14" x14ac:dyDescent="0.2">
      <c r="A36" s="2" t="s">
        <v>179</v>
      </c>
      <c r="B36">
        <v>51743879</v>
      </c>
      <c r="H36">
        <v>4</v>
      </c>
      <c r="I36">
        <v>515933</v>
      </c>
      <c r="M36">
        <v>1</v>
      </c>
      <c r="N36">
        <v>82314</v>
      </c>
    </row>
    <row r="37" spans="1:14" x14ac:dyDescent="0.2">
      <c r="A37" s="2" t="s">
        <v>180</v>
      </c>
      <c r="B37">
        <v>5361573</v>
      </c>
      <c r="H37">
        <v>1</v>
      </c>
      <c r="I37">
        <v>1542</v>
      </c>
      <c r="M37">
        <v>1</v>
      </c>
      <c r="N37">
        <v>1542</v>
      </c>
    </row>
    <row r="38" spans="1:14" x14ac:dyDescent="0.2">
      <c r="A38" s="2" t="s">
        <v>181</v>
      </c>
      <c r="B38">
        <v>1540</v>
      </c>
      <c r="H38">
        <v>1</v>
      </c>
      <c r="I38">
        <v>486</v>
      </c>
      <c r="M38">
        <v>0</v>
      </c>
      <c r="N38">
        <v>0</v>
      </c>
    </row>
    <row r="39" spans="1:14" x14ac:dyDescent="0.2">
      <c r="A39" s="2" t="s">
        <v>182</v>
      </c>
      <c r="B39">
        <v>3534760</v>
      </c>
      <c r="H39">
        <v>2</v>
      </c>
      <c r="I39">
        <v>233692</v>
      </c>
      <c r="M39">
        <v>0</v>
      </c>
      <c r="N39">
        <v>0</v>
      </c>
    </row>
    <row r="40" spans="1:14" x14ac:dyDescent="0.2">
      <c r="A40" s="2" t="s">
        <v>183</v>
      </c>
      <c r="B40">
        <v>20610208</v>
      </c>
      <c r="H40">
        <v>11</v>
      </c>
      <c r="I40">
        <v>2121723</v>
      </c>
      <c r="M40">
        <v>2</v>
      </c>
      <c r="N40">
        <v>97791</v>
      </c>
    </row>
    <row r="41" spans="1:14" x14ac:dyDescent="0.2">
      <c r="A41" s="2" t="s">
        <v>184</v>
      </c>
      <c r="B41">
        <v>22217202</v>
      </c>
      <c r="H41">
        <v>3</v>
      </c>
      <c r="I41">
        <v>149545</v>
      </c>
      <c r="M41">
        <v>0</v>
      </c>
      <c r="N41">
        <v>0</v>
      </c>
    </row>
    <row r="42" spans="1:14" x14ac:dyDescent="0.2">
      <c r="A42" s="2" t="s">
        <v>185</v>
      </c>
      <c r="B42">
        <v>59297599</v>
      </c>
      <c r="H42">
        <v>12</v>
      </c>
      <c r="I42">
        <v>2441233</v>
      </c>
      <c r="M42">
        <v>2</v>
      </c>
      <c r="N42">
        <v>148476</v>
      </c>
    </row>
    <row r="43" spans="1:14" x14ac:dyDescent="0.2">
      <c r="A43" s="2" t="s">
        <v>186</v>
      </c>
      <c r="B43">
        <v>26797068</v>
      </c>
      <c r="H43">
        <v>4</v>
      </c>
      <c r="I43">
        <v>4390365</v>
      </c>
      <c r="M43">
        <v>1</v>
      </c>
      <c r="N43">
        <v>795</v>
      </c>
    </row>
    <row r="44" spans="1:14" x14ac:dyDescent="0.2">
      <c r="A44" s="2" t="s">
        <v>187</v>
      </c>
      <c r="B44">
        <v>128362304</v>
      </c>
      <c r="H44">
        <v>0</v>
      </c>
      <c r="I44">
        <v>0</v>
      </c>
      <c r="M44">
        <v>1</v>
      </c>
      <c r="N44">
        <v>96561</v>
      </c>
    </row>
    <row r="45" spans="1:14" x14ac:dyDescent="0.2">
      <c r="A45" s="2" t="s">
        <v>188</v>
      </c>
      <c r="B45">
        <v>23756004</v>
      </c>
      <c r="H45">
        <v>15</v>
      </c>
      <c r="I45">
        <v>3283181</v>
      </c>
      <c r="M45">
        <v>4</v>
      </c>
      <c r="N45">
        <v>122832</v>
      </c>
    </row>
    <row r="46" spans="1:14" x14ac:dyDescent="0.2">
      <c r="A46" s="2" t="s">
        <v>189</v>
      </c>
      <c r="B46">
        <v>316735</v>
      </c>
      <c r="H46">
        <v>1</v>
      </c>
      <c r="I46">
        <v>3392</v>
      </c>
      <c r="M46">
        <v>0</v>
      </c>
      <c r="N46">
        <v>0</v>
      </c>
    </row>
    <row r="47" spans="1:14" x14ac:dyDescent="0.2">
      <c r="A47" s="2" t="s">
        <v>190</v>
      </c>
      <c r="B47">
        <v>509492</v>
      </c>
      <c r="H47">
        <v>1</v>
      </c>
      <c r="I47">
        <v>3837</v>
      </c>
      <c r="M47">
        <v>0</v>
      </c>
      <c r="N47">
        <v>0</v>
      </c>
    </row>
    <row r="48" spans="1:14" x14ac:dyDescent="0.2">
      <c r="A48" s="2" t="s">
        <v>191</v>
      </c>
      <c r="B48">
        <v>2683027</v>
      </c>
      <c r="H48">
        <v>8</v>
      </c>
      <c r="I48">
        <v>1476815</v>
      </c>
      <c r="M48">
        <v>2</v>
      </c>
      <c r="N48">
        <v>730851</v>
      </c>
    </row>
    <row r="49" spans="1:14" x14ac:dyDescent="0.2">
      <c r="A49" s="2" t="s">
        <v>192</v>
      </c>
      <c r="B49">
        <v>10098469</v>
      </c>
      <c r="H49">
        <v>5</v>
      </c>
      <c r="I49">
        <v>4383814</v>
      </c>
      <c r="M49">
        <v>2</v>
      </c>
      <c r="N49">
        <v>22240</v>
      </c>
    </row>
    <row r="50" spans="1:14" x14ac:dyDescent="0.2">
      <c r="A50" s="2" t="s">
        <v>193</v>
      </c>
      <c r="B50">
        <v>23527480</v>
      </c>
      <c r="H50">
        <v>20</v>
      </c>
      <c r="I50">
        <v>2819790</v>
      </c>
      <c r="M50">
        <v>7</v>
      </c>
      <c r="N50">
        <v>435057</v>
      </c>
    </row>
    <row r="51" spans="1:14" x14ac:dyDescent="0.2">
      <c r="A51" s="2" t="s">
        <v>186</v>
      </c>
      <c r="B51">
        <v>4192401</v>
      </c>
      <c r="H51">
        <v>12</v>
      </c>
      <c r="I51">
        <v>1905572</v>
      </c>
      <c r="M51">
        <v>3</v>
      </c>
      <c r="N51">
        <v>105163</v>
      </c>
    </row>
    <row r="52" spans="1:14" x14ac:dyDescent="0.2">
      <c r="A52" s="2" t="s">
        <v>194</v>
      </c>
      <c r="B52">
        <v>5595226</v>
      </c>
      <c r="H52">
        <v>3</v>
      </c>
      <c r="I52">
        <v>2867209</v>
      </c>
      <c r="M52">
        <v>1</v>
      </c>
      <c r="N52">
        <v>295</v>
      </c>
    </row>
    <row r="53" spans="1:14" x14ac:dyDescent="0.2">
      <c r="A53" s="2" t="s">
        <v>195</v>
      </c>
      <c r="B53">
        <v>7390527</v>
      </c>
      <c r="H53">
        <v>1</v>
      </c>
      <c r="I53">
        <v>179493</v>
      </c>
      <c r="M53">
        <v>0</v>
      </c>
      <c r="N53">
        <v>0</v>
      </c>
    </row>
    <row r="54" spans="1:14" x14ac:dyDescent="0.2">
      <c r="A54" s="2" t="s">
        <v>196</v>
      </c>
      <c r="B54">
        <v>4922294</v>
      </c>
      <c r="H54">
        <v>2</v>
      </c>
      <c r="I54">
        <v>229934</v>
      </c>
      <c r="M54">
        <v>1</v>
      </c>
      <c r="N54">
        <v>90836</v>
      </c>
    </row>
    <row r="55" spans="1:14" x14ac:dyDescent="0.2">
      <c r="A55" s="2" t="s">
        <v>197</v>
      </c>
      <c r="B55">
        <v>34078343</v>
      </c>
      <c r="H55">
        <v>29</v>
      </c>
      <c r="I55">
        <v>3923640</v>
      </c>
      <c r="M55">
        <v>7</v>
      </c>
      <c r="N55">
        <v>229816</v>
      </c>
    </row>
    <row r="56" spans="1:14" x14ac:dyDescent="0.2">
      <c r="A56" s="2" t="s">
        <v>198</v>
      </c>
      <c r="B56">
        <v>3901970</v>
      </c>
      <c r="H56">
        <v>0</v>
      </c>
      <c r="I56">
        <v>0</v>
      </c>
      <c r="M56">
        <v>0</v>
      </c>
      <c r="N56">
        <v>0</v>
      </c>
    </row>
    <row r="57" spans="1:14" x14ac:dyDescent="0.2">
      <c r="A57" s="2" t="s">
        <v>199</v>
      </c>
      <c r="B57">
        <v>53979966</v>
      </c>
      <c r="H57">
        <v>3</v>
      </c>
      <c r="I57">
        <v>535227</v>
      </c>
      <c r="M57">
        <v>2</v>
      </c>
      <c r="N57">
        <v>29687</v>
      </c>
    </row>
    <row r="58" spans="1:14" x14ac:dyDescent="0.2">
      <c r="A58" s="2" t="s">
        <v>183</v>
      </c>
      <c r="B58">
        <v>36545177</v>
      </c>
      <c r="H58">
        <v>14</v>
      </c>
      <c r="I58">
        <v>7579954</v>
      </c>
      <c r="M58">
        <v>4</v>
      </c>
      <c r="N58">
        <v>95875</v>
      </c>
    </row>
    <row r="59" spans="1:14" x14ac:dyDescent="0.2">
      <c r="A59" s="2" t="s">
        <v>200</v>
      </c>
      <c r="B59">
        <v>11900681</v>
      </c>
      <c r="H59">
        <v>1</v>
      </c>
      <c r="I59">
        <v>6450</v>
      </c>
      <c r="M59">
        <v>2</v>
      </c>
      <c r="N59">
        <v>170482406</v>
      </c>
    </row>
    <row r="60" spans="1:14" x14ac:dyDescent="0.2">
      <c r="A60" s="2" t="s">
        <v>201</v>
      </c>
      <c r="B60">
        <v>8510948</v>
      </c>
      <c r="H60">
        <v>3</v>
      </c>
      <c r="I60">
        <v>344657</v>
      </c>
      <c r="M60">
        <v>0</v>
      </c>
      <c r="N60">
        <v>0</v>
      </c>
    </row>
    <row r="61" spans="1:14" x14ac:dyDescent="0.2">
      <c r="A61" s="2" t="s">
        <v>202</v>
      </c>
      <c r="B61">
        <v>16624667</v>
      </c>
      <c r="H61">
        <v>16</v>
      </c>
      <c r="I61">
        <v>12038966</v>
      </c>
      <c r="M61">
        <v>1</v>
      </c>
      <c r="N61">
        <v>915</v>
      </c>
    </row>
    <row r="62" spans="1:14" x14ac:dyDescent="0.2">
      <c r="A62" s="2" t="s">
        <v>195</v>
      </c>
      <c r="B62">
        <v>76314</v>
      </c>
      <c r="H62">
        <v>4</v>
      </c>
      <c r="I62">
        <v>191040</v>
      </c>
      <c r="M62">
        <v>1</v>
      </c>
      <c r="N62">
        <v>361</v>
      </c>
    </row>
    <row r="63" spans="1:14" x14ac:dyDescent="0.2">
      <c r="A63" s="2" t="s">
        <v>203</v>
      </c>
      <c r="B63">
        <v>25063</v>
      </c>
      <c r="H63">
        <v>1</v>
      </c>
      <c r="I63">
        <v>193</v>
      </c>
      <c r="M63">
        <v>0</v>
      </c>
      <c r="N63">
        <v>0</v>
      </c>
    </row>
    <row r="64" spans="1:14" x14ac:dyDescent="0.2">
      <c r="A64" s="2" t="s">
        <v>204</v>
      </c>
      <c r="B64">
        <v>24220912</v>
      </c>
      <c r="H64">
        <v>3</v>
      </c>
      <c r="I64">
        <v>1383814</v>
      </c>
      <c r="M64">
        <v>1</v>
      </c>
      <c r="N64">
        <v>91113</v>
      </c>
    </row>
    <row r="68" spans="1:14" x14ac:dyDescent="0.2">
      <c r="A68" s="2" t="s">
        <v>205</v>
      </c>
    </row>
    <row r="69" spans="1:14" x14ac:dyDescent="0.2">
      <c r="A69" s="2" t="s">
        <v>82</v>
      </c>
      <c r="B69" t="s">
        <v>206</v>
      </c>
      <c r="H69" t="s">
        <v>84</v>
      </c>
      <c r="I69" t="s">
        <v>206</v>
      </c>
      <c r="M69" t="s">
        <v>86</v>
      </c>
      <c r="N69" t="s">
        <v>206</v>
      </c>
    </row>
    <row r="70" spans="1:14" x14ac:dyDescent="0.2">
      <c r="A70" s="2" t="s">
        <v>178</v>
      </c>
      <c r="B70">
        <v>686356</v>
      </c>
      <c r="H70">
        <v>4</v>
      </c>
      <c r="I70">
        <v>153897</v>
      </c>
      <c r="M70">
        <v>0</v>
      </c>
      <c r="N70">
        <v>0</v>
      </c>
    </row>
    <row r="71" spans="1:14" x14ac:dyDescent="0.2">
      <c r="A71" s="2" t="s">
        <v>207</v>
      </c>
      <c r="B71">
        <v>26974362</v>
      </c>
      <c r="H71">
        <v>6</v>
      </c>
      <c r="I71">
        <v>2693427</v>
      </c>
      <c r="M71">
        <v>0</v>
      </c>
      <c r="N71">
        <v>0</v>
      </c>
    </row>
    <row r="72" spans="1:14" x14ac:dyDescent="0.2">
      <c r="A72" s="2" t="s">
        <v>208</v>
      </c>
      <c r="B72">
        <v>225381</v>
      </c>
      <c r="H72">
        <v>1</v>
      </c>
      <c r="I72">
        <v>9885</v>
      </c>
      <c r="M72">
        <v>0</v>
      </c>
      <c r="N72">
        <v>0</v>
      </c>
    </row>
    <row r="73" spans="1:14" x14ac:dyDescent="0.2">
      <c r="A73" s="2" t="s">
        <v>209</v>
      </c>
      <c r="B73">
        <v>47812089</v>
      </c>
      <c r="H73">
        <v>14</v>
      </c>
      <c r="I73">
        <v>283753</v>
      </c>
      <c r="M73">
        <v>3</v>
      </c>
      <c r="N73">
        <v>43369</v>
      </c>
    </row>
    <row r="74" spans="1:14" x14ac:dyDescent="0.2">
      <c r="A74" s="2" t="s">
        <v>182</v>
      </c>
      <c r="B74">
        <v>6684968</v>
      </c>
      <c r="H74">
        <v>1</v>
      </c>
      <c r="I74">
        <v>4432</v>
      </c>
      <c r="M74">
        <v>0</v>
      </c>
      <c r="N74">
        <v>0</v>
      </c>
    </row>
    <row r="75" spans="1:14" x14ac:dyDescent="0.2">
      <c r="A75" s="2" t="s">
        <v>210</v>
      </c>
      <c r="B75">
        <v>1957931</v>
      </c>
      <c r="H75">
        <v>0</v>
      </c>
      <c r="I75">
        <v>0</v>
      </c>
      <c r="M75">
        <v>0</v>
      </c>
      <c r="N75">
        <v>0</v>
      </c>
    </row>
    <row r="76" spans="1:14" x14ac:dyDescent="0.2">
      <c r="A76" s="2" t="s">
        <v>211</v>
      </c>
      <c r="B76">
        <v>254950</v>
      </c>
      <c r="H76">
        <v>1</v>
      </c>
      <c r="I76">
        <v>112234</v>
      </c>
      <c r="M76">
        <v>1</v>
      </c>
      <c r="N76">
        <v>1872</v>
      </c>
    </row>
    <row r="77" spans="1:14" x14ac:dyDescent="0.2">
      <c r="A77" s="2" t="s">
        <v>180</v>
      </c>
      <c r="B77">
        <v>1275503</v>
      </c>
      <c r="H77">
        <v>1</v>
      </c>
      <c r="I77">
        <v>1158</v>
      </c>
      <c r="M77">
        <v>1</v>
      </c>
      <c r="N77">
        <v>48351</v>
      </c>
    </row>
    <row r="78" spans="1:14" x14ac:dyDescent="0.2">
      <c r="A78" s="2" t="s">
        <v>212</v>
      </c>
      <c r="B78">
        <v>451032</v>
      </c>
      <c r="H78">
        <v>0</v>
      </c>
      <c r="I78">
        <v>0</v>
      </c>
      <c r="M78">
        <v>0</v>
      </c>
      <c r="N78">
        <v>0</v>
      </c>
    </row>
    <row r="79" spans="1:14" x14ac:dyDescent="0.2">
      <c r="H79">
        <v>0</v>
      </c>
      <c r="I79">
        <v>0</v>
      </c>
      <c r="M79">
        <v>0</v>
      </c>
      <c r="N79">
        <v>0</v>
      </c>
    </row>
    <row r="80" spans="1:14" x14ac:dyDescent="0.2">
      <c r="A80" s="2" t="s">
        <v>198</v>
      </c>
      <c r="B80">
        <v>102447</v>
      </c>
      <c r="H80">
        <v>0</v>
      </c>
      <c r="I80">
        <v>0</v>
      </c>
      <c r="M80">
        <v>0</v>
      </c>
      <c r="N80">
        <v>0</v>
      </c>
    </row>
    <row r="81" spans="1:14" x14ac:dyDescent="0.2">
      <c r="A81" s="2" t="s">
        <v>178</v>
      </c>
      <c r="B81">
        <v>2184123</v>
      </c>
      <c r="H81">
        <v>0</v>
      </c>
      <c r="I81">
        <v>0</v>
      </c>
      <c r="M81">
        <v>0</v>
      </c>
      <c r="N81">
        <v>0</v>
      </c>
    </row>
    <row r="82" spans="1:14" x14ac:dyDescent="0.2">
      <c r="H82">
        <v>0</v>
      </c>
      <c r="I82">
        <v>0</v>
      </c>
      <c r="M82">
        <v>0</v>
      </c>
      <c r="N82">
        <v>0</v>
      </c>
    </row>
    <row r="83" spans="1:14" x14ac:dyDescent="0.2">
      <c r="H83">
        <v>1</v>
      </c>
      <c r="I83">
        <v>5019</v>
      </c>
      <c r="M83">
        <v>1</v>
      </c>
      <c r="N83">
        <v>24451</v>
      </c>
    </row>
    <row r="84" spans="1:14" x14ac:dyDescent="0.2">
      <c r="A84" s="2" t="s">
        <v>189</v>
      </c>
      <c r="B84">
        <v>1630137</v>
      </c>
      <c r="H84">
        <v>0</v>
      </c>
      <c r="I84">
        <v>0</v>
      </c>
      <c r="M84">
        <v>0</v>
      </c>
      <c r="N84">
        <v>0</v>
      </c>
    </row>
    <row r="85" spans="1:14" x14ac:dyDescent="0.2">
      <c r="A85" s="2" t="s">
        <v>213</v>
      </c>
      <c r="B85">
        <v>296121</v>
      </c>
      <c r="H85">
        <v>2</v>
      </c>
      <c r="I85">
        <v>2699</v>
      </c>
      <c r="M85">
        <v>0</v>
      </c>
      <c r="N85">
        <v>0</v>
      </c>
    </row>
    <row r="86" spans="1:14" x14ac:dyDescent="0.2">
      <c r="A86" s="2" t="s">
        <v>214</v>
      </c>
      <c r="B86">
        <v>47769229</v>
      </c>
      <c r="H86">
        <v>12</v>
      </c>
      <c r="I86">
        <v>510677</v>
      </c>
      <c r="M86">
        <v>1</v>
      </c>
      <c r="N86">
        <v>75835</v>
      </c>
    </row>
    <row r="87" spans="1:14" x14ac:dyDescent="0.2">
      <c r="A87" s="2" t="s">
        <v>215</v>
      </c>
      <c r="B87">
        <v>63501</v>
      </c>
      <c r="H87">
        <v>0</v>
      </c>
      <c r="I87">
        <v>0</v>
      </c>
      <c r="M87">
        <v>0</v>
      </c>
      <c r="N87">
        <v>0</v>
      </c>
    </row>
    <row r="88" spans="1:14" x14ac:dyDescent="0.2">
      <c r="A88" s="2" t="s">
        <v>211</v>
      </c>
      <c r="B88">
        <v>252873</v>
      </c>
      <c r="H88">
        <v>0</v>
      </c>
      <c r="I88">
        <v>0</v>
      </c>
      <c r="M88">
        <v>0</v>
      </c>
      <c r="N88">
        <v>0</v>
      </c>
    </row>
    <row r="89" spans="1:14" x14ac:dyDescent="0.2">
      <c r="A89" s="2" t="s">
        <v>216</v>
      </c>
      <c r="B89">
        <v>3017084</v>
      </c>
      <c r="H89">
        <v>0</v>
      </c>
      <c r="I89">
        <v>0</v>
      </c>
      <c r="M89">
        <v>0</v>
      </c>
      <c r="N89">
        <v>0</v>
      </c>
    </row>
    <row r="90" spans="1:14" x14ac:dyDescent="0.2">
      <c r="A90" s="2" t="s">
        <v>203</v>
      </c>
      <c r="B90">
        <v>506684</v>
      </c>
      <c r="H90">
        <v>0</v>
      </c>
      <c r="I90">
        <v>0</v>
      </c>
      <c r="M90">
        <v>0</v>
      </c>
      <c r="N90">
        <v>0</v>
      </c>
    </row>
    <row r="91" spans="1:14" x14ac:dyDescent="0.2">
      <c r="H91">
        <v>5</v>
      </c>
      <c r="I91">
        <v>77308</v>
      </c>
      <c r="M91">
        <v>0</v>
      </c>
      <c r="N91">
        <v>0</v>
      </c>
    </row>
    <row r="92" spans="1:14" x14ac:dyDescent="0.2">
      <c r="A92" s="2" t="s">
        <v>217</v>
      </c>
      <c r="B92">
        <v>12342173</v>
      </c>
      <c r="H92">
        <v>4</v>
      </c>
      <c r="I92">
        <v>4108</v>
      </c>
      <c r="M92">
        <v>0</v>
      </c>
      <c r="N92">
        <v>0</v>
      </c>
    </row>
    <row r="93" spans="1:14" x14ac:dyDescent="0.2">
      <c r="A93" s="2" t="s">
        <v>218</v>
      </c>
      <c r="B93">
        <v>79428763</v>
      </c>
      <c r="H93">
        <v>26</v>
      </c>
      <c r="I93">
        <v>519126</v>
      </c>
      <c r="M93">
        <v>2</v>
      </c>
      <c r="N93">
        <v>92367</v>
      </c>
    </row>
    <row r="94" spans="1:14" x14ac:dyDescent="0.2">
      <c r="A94" s="2" t="s">
        <v>219</v>
      </c>
      <c r="B94">
        <v>4748721</v>
      </c>
      <c r="H94">
        <v>4</v>
      </c>
      <c r="I94">
        <v>1011039</v>
      </c>
      <c r="M94">
        <v>2</v>
      </c>
      <c r="N94">
        <v>19828</v>
      </c>
    </row>
    <row r="95" spans="1:14" x14ac:dyDescent="0.2">
      <c r="A95" s="2" t="s">
        <v>211</v>
      </c>
      <c r="B95">
        <v>18610214</v>
      </c>
      <c r="H95">
        <v>0</v>
      </c>
      <c r="I95">
        <v>0</v>
      </c>
      <c r="M95">
        <v>0</v>
      </c>
      <c r="N95">
        <v>0</v>
      </c>
    </row>
    <row r="96" spans="1:14" x14ac:dyDescent="0.2">
      <c r="A96" s="2" t="s">
        <v>212</v>
      </c>
      <c r="B96">
        <v>2231334</v>
      </c>
      <c r="H96">
        <v>2</v>
      </c>
      <c r="I96">
        <v>59754</v>
      </c>
      <c r="M96">
        <v>0</v>
      </c>
      <c r="N96">
        <v>0</v>
      </c>
    </row>
    <row r="97" spans="1:14" x14ac:dyDescent="0.2">
      <c r="A97" s="2" t="s">
        <v>190</v>
      </c>
      <c r="B97">
        <v>783299</v>
      </c>
      <c r="H97">
        <v>0</v>
      </c>
      <c r="I97">
        <v>0</v>
      </c>
      <c r="M97">
        <v>0</v>
      </c>
      <c r="N97">
        <v>0</v>
      </c>
    </row>
    <row r="98" spans="1:14" x14ac:dyDescent="0.2">
      <c r="A98" s="2" t="s">
        <v>200</v>
      </c>
      <c r="B98">
        <v>350433</v>
      </c>
      <c r="H98">
        <v>3</v>
      </c>
      <c r="I98">
        <v>40915</v>
      </c>
      <c r="M98">
        <v>0</v>
      </c>
      <c r="N98">
        <v>0</v>
      </c>
    </row>
    <row r="99" spans="1:14" x14ac:dyDescent="0.2">
      <c r="A99" s="2" t="s">
        <v>208</v>
      </c>
      <c r="B99">
        <v>2942280</v>
      </c>
      <c r="H99">
        <v>0</v>
      </c>
      <c r="I99">
        <v>0</v>
      </c>
      <c r="M99">
        <v>0</v>
      </c>
      <c r="N99">
        <v>0</v>
      </c>
    </row>
    <row r="101" spans="1:14" x14ac:dyDescent="0.2">
      <c r="A101" s="2" t="s">
        <v>220</v>
      </c>
    </row>
    <row r="102" spans="1:14" x14ac:dyDescent="0.2">
      <c r="A102" s="2" t="s">
        <v>195</v>
      </c>
      <c r="B102">
        <v>225921666</v>
      </c>
    </row>
    <row r="103" spans="1:14" x14ac:dyDescent="0.2">
      <c r="A103" s="2" t="s">
        <v>221</v>
      </c>
      <c r="B103">
        <v>654141210</v>
      </c>
    </row>
    <row r="104" spans="1:14" x14ac:dyDescent="0.2">
      <c r="A104" s="2" t="s">
        <v>221</v>
      </c>
      <c r="B104">
        <v>2463994</v>
      </c>
    </row>
    <row r="105" spans="1:14" x14ac:dyDescent="0.2">
      <c r="A105" s="2" t="s">
        <v>186</v>
      </c>
      <c r="B105">
        <v>113830524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AT49"/>
  <sheetViews>
    <sheetView tabSelected="1" topLeftCell="Y22" workbookViewId="0">
      <selection activeCell="O35" sqref="O35"/>
    </sheetView>
  </sheetViews>
  <sheetFormatPr baseColWidth="10" defaultRowHeight="16" x14ac:dyDescent="0.2"/>
  <cols>
    <col min="2" max="2" width="15.6640625" customWidth="1"/>
    <col min="3" max="3" width="22.33203125" customWidth="1"/>
    <col min="7" max="7" width="22.6640625" customWidth="1"/>
    <col min="11" max="11" width="14.6640625" customWidth="1"/>
    <col min="12" max="12" width="18.1640625" customWidth="1"/>
    <col min="14" max="14" width="29.33203125" customWidth="1"/>
    <col min="20" max="20" width="18" customWidth="1"/>
    <col min="22" max="22" width="38.33203125" customWidth="1"/>
    <col min="38" max="38" width="21.83203125" customWidth="1"/>
    <col min="39" max="39" width="21.1640625" customWidth="1"/>
  </cols>
  <sheetData>
    <row r="2" spans="1:43" x14ac:dyDescent="0.2">
      <c r="B2" t="s">
        <v>224</v>
      </c>
      <c r="C2" t="s">
        <v>223</v>
      </c>
      <c r="F2" t="s">
        <v>224</v>
      </c>
      <c r="G2" t="s">
        <v>223</v>
      </c>
      <c r="K2" t="s">
        <v>226</v>
      </c>
      <c r="L2" t="s">
        <v>227</v>
      </c>
      <c r="O2" t="s">
        <v>226</v>
      </c>
      <c r="P2" t="s">
        <v>227</v>
      </c>
      <c r="S2" t="s">
        <v>229</v>
      </c>
      <c r="T2" t="s">
        <v>228</v>
      </c>
      <c r="W2" t="s">
        <v>229</v>
      </c>
      <c r="X2" t="s">
        <v>228</v>
      </c>
      <c r="AC2" t="s">
        <v>230</v>
      </c>
      <c r="AD2" t="s">
        <v>231</v>
      </c>
      <c r="AH2" t="s">
        <v>230</v>
      </c>
      <c r="AI2" t="s">
        <v>231</v>
      </c>
    </row>
    <row r="3" spans="1:43" x14ac:dyDescent="0.2">
      <c r="A3" t="s">
        <v>0</v>
      </c>
      <c r="B3" t="s">
        <v>222</v>
      </c>
      <c r="C3" t="s">
        <v>222</v>
      </c>
      <c r="E3" s="2" t="s">
        <v>0</v>
      </c>
      <c r="F3" t="s">
        <v>225</v>
      </c>
      <c r="G3" t="s">
        <v>225</v>
      </c>
      <c r="J3" t="s">
        <v>0</v>
      </c>
      <c r="K3" t="s">
        <v>222</v>
      </c>
      <c r="L3" t="s">
        <v>222</v>
      </c>
      <c r="N3" s="2" t="s">
        <v>0</v>
      </c>
      <c r="O3" t="s">
        <v>225</v>
      </c>
      <c r="P3" t="s">
        <v>225</v>
      </c>
      <c r="R3" t="s">
        <v>0</v>
      </c>
      <c r="S3" t="s">
        <v>222</v>
      </c>
      <c r="T3" t="s">
        <v>222</v>
      </c>
      <c r="V3" s="2" t="s">
        <v>0</v>
      </c>
      <c r="W3" t="s">
        <v>225</v>
      </c>
      <c r="X3" t="s">
        <v>225</v>
      </c>
      <c r="AB3" t="s">
        <v>0</v>
      </c>
      <c r="AC3" t="s">
        <v>222</v>
      </c>
      <c r="AD3" t="s">
        <v>222</v>
      </c>
      <c r="AG3" s="2" t="s">
        <v>0</v>
      </c>
      <c r="AH3" t="s">
        <v>225</v>
      </c>
      <c r="AI3" t="s">
        <v>225</v>
      </c>
      <c r="AL3" t="s">
        <v>0</v>
      </c>
      <c r="AM3" t="s">
        <v>232</v>
      </c>
      <c r="AO3" s="2" t="s">
        <v>0</v>
      </c>
      <c r="AQ3" t="s">
        <v>233</v>
      </c>
    </row>
    <row r="4" spans="1:43" x14ac:dyDescent="0.2">
      <c r="A4" t="s">
        <v>18</v>
      </c>
      <c r="B4">
        <v>686356</v>
      </c>
      <c r="C4">
        <v>0</v>
      </c>
      <c r="E4" s="2" t="s">
        <v>94</v>
      </c>
      <c r="F4">
        <v>144167</v>
      </c>
      <c r="G4">
        <v>0</v>
      </c>
      <c r="J4" t="s">
        <v>18</v>
      </c>
      <c r="K4">
        <v>0</v>
      </c>
      <c r="L4">
        <v>153897</v>
      </c>
      <c r="N4" s="2" t="s">
        <v>94</v>
      </c>
      <c r="O4">
        <v>0</v>
      </c>
      <c r="P4">
        <v>0</v>
      </c>
      <c r="R4" t="s">
        <v>18</v>
      </c>
      <c r="S4">
        <v>0</v>
      </c>
      <c r="T4">
        <v>0</v>
      </c>
      <c r="V4" s="2" t="s">
        <v>94</v>
      </c>
      <c r="W4">
        <v>0</v>
      </c>
      <c r="X4">
        <v>0</v>
      </c>
      <c r="AB4" t="s">
        <v>18</v>
      </c>
      <c r="AC4">
        <f t="shared" ref="AC4:AC29" si="0">C4+K4+S4</f>
        <v>0</v>
      </c>
      <c r="AD4">
        <f>B4+L4+T4</f>
        <v>840253</v>
      </c>
      <c r="AG4" s="2" t="s">
        <v>94</v>
      </c>
      <c r="AH4">
        <f>G4+O4+W4</f>
        <v>0</v>
      </c>
      <c r="AI4">
        <f>F4+P4+X4</f>
        <v>144167</v>
      </c>
      <c r="AL4" t="s">
        <v>18</v>
      </c>
      <c r="AM4">
        <f t="shared" ref="AM4:AM29" si="1">AC4+AD4</f>
        <v>840253</v>
      </c>
      <c r="AO4" s="2" t="s">
        <v>94</v>
      </c>
      <c r="AQ4">
        <f>AH4+AI4</f>
        <v>144167</v>
      </c>
    </row>
    <row r="5" spans="1:43" x14ac:dyDescent="0.2">
      <c r="A5" t="s">
        <v>20</v>
      </c>
      <c r="B5">
        <v>26944712</v>
      </c>
      <c r="C5">
        <v>29650</v>
      </c>
      <c r="E5" s="2" t="s">
        <v>95</v>
      </c>
      <c r="F5">
        <v>51742422</v>
      </c>
      <c r="G5">
        <v>1457</v>
      </c>
      <c r="J5" t="s">
        <v>20</v>
      </c>
      <c r="K5">
        <v>0</v>
      </c>
      <c r="L5">
        <v>2693427</v>
      </c>
      <c r="N5" s="2" t="s">
        <v>95</v>
      </c>
      <c r="O5">
        <v>0</v>
      </c>
      <c r="P5">
        <v>515933</v>
      </c>
      <c r="R5" t="s">
        <v>20</v>
      </c>
      <c r="S5">
        <v>0</v>
      </c>
      <c r="T5">
        <v>0</v>
      </c>
      <c r="V5" s="2" t="s">
        <v>95</v>
      </c>
      <c r="W5">
        <v>0</v>
      </c>
      <c r="X5">
        <v>82314</v>
      </c>
      <c r="AB5" t="s">
        <v>20</v>
      </c>
      <c r="AC5">
        <f t="shared" si="0"/>
        <v>29650</v>
      </c>
      <c r="AD5">
        <f t="shared" ref="AD5:AD28" si="2">B5+L5+T5</f>
        <v>29638139</v>
      </c>
      <c r="AG5" s="2" t="s">
        <v>95</v>
      </c>
      <c r="AH5">
        <f t="shared" ref="AH5:AH32" si="3">G5+O5+W5</f>
        <v>1457</v>
      </c>
      <c r="AI5">
        <f t="shared" ref="AI5:AI38" si="4">F5+P5+X5</f>
        <v>52340669</v>
      </c>
      <c r="AL5" t="s">
        <v>20</v>
      </c>
      <c r="AM5">
        <f t="shared" si="1"/>
        <v>29667789</v>
      </c>
      <c r="AO5" s="2" t="s">
        <v>95</v>
      </c>
      <c r="AQ5">
        <f t="shared" ref="AQ5:AQ38" si="5">AH5+AI5</f>
        <v>52342126</v>
      </c>
    </row>
    <row r="6" spans="1:43" x14ac:dyDescent="0.2">
      <c r="A6" t="s">
        <v>23</v>
      </c>
      <c r="B6">
        <v>225381</v>
      </c>
      <c r="C6">
        <v>0</v>
      </c>
      <c r="E6" s="2" t="s">
        <v>99</v>
      </c>
      <c r="F6">
        <v>5361573</v>
      </c>
      <c r="G6">
        <v>0</v>
      </c>
      <c r="J6" t="s">
        <v>23</v>
      </c>
      <c r="K6">
        <v>0</v>
      </c>
      <c r="L6">
        <v>9885</v>
      </c>
      <c r="N6" s="2" t="s">
        <v>99</v>
      </c>
      <c r="O6">
        <v>0</v>
      </c>
      <c r="P6">
        <v>1542</v>
      </c>
      <c r="R6" t="s">
        <v>23</v>
      </c>
      <c r="S6">
        <v>0</v>
      </c>
      <c r="T6">
        <v>0</v>
      </c>
      <c r="V6" s="2" t="s">
        <v>99</v>
      </c>
      <c r="W6">
        <v>0</v>
      </c>
      <c r="X6">
        <v>1542</v>
      </c>
      <c r="AB6" t="s">
        <v>23</v>
      </c>
      <c r="AC6">
        <f t="shared" si="0"/>
        <v>0</v>
      </c>
      <c r="AD6">
        <f t="shared" si="2"/>
        <v>235266</v>
      </c>
      <c r="AG6" s="2" t="s">
        <v>99</v>
      </c>
      <c r="AH6">
        <f t="shared" si="3"/>
        <v>0</v>
      </c>
      <c r="AI6">
        <f t="shared" si="4"/>
        <v>5364657</v>
      </c>
      <c r="AL6" t="s">
        <v>23</v>
      </c>
      <c r="AM6">
        <f t="shared" si="1"/>
        <v>235266</v>
      </c>
      <c r="AO6" s="2" t="s">
        <v>99</v>
      </c>
      <c r="AQ6">
        <f t="shared" si="5"/>
        <v>5364657</v>
      </c>
    </row>
    <row r="7" spans="1:43" x14ac:dyDescent="0.2">
      <c r="A7" t="s">
        <v>25</v>
      </c>
      <c r="B7">
        <v>47601021</v>
      </c>
      <c r="C7">
        <v>211068</v>
      </c>
      <c r="E7" s="2" t="s">
        <v>102</v>
      </c>
      <c r="F7">
        <v>1540</v>
      </c>
      <c r="G7">
        <v>0</v>
      </c>
      <c r="J7" t="s">
        <v>25</v>
      </c>
      <c r="K7">
        <v>3644</v>
      </c>
      <c r="L7">
        <v>280109</v>
      </c>
      <c r="N7" s="2" t="s">
        <v>102</v>
      </c>
      <c r="O7">
        <v>0</v>
      </c>
      <c r="P7">
        <v>486</v>
      </c>
      <c r="R7" t="s">
        <v>25</v>
      </c>
      <c r="S7">
        <v>4861</v>
      </c>
      <c r="T7">
        <v>43369</v>
      </c>
      <c r="V7" s="2" t="s">
        <v>102</v>
      </c>
      <c r="W7">
        <v>0</v>
      </c>
      <c r="X7">
        <v>0</v>
      </c>
      <c r="AB7" t="s">
        <v>25</v>
      </c>
      <c r="AC7">
        <f t="shared" si="0"/>
        <v>219573</v>
      </c>
      <c r="AD7">
        <f t="shared" si="2"/>
        <v>47924499</v>
      </c>
      <c r="AG7" s="2" t="s">
        <v>102</v>
      </c>
      <c r="AH7">
        <f t="shared" si="3"/>
        <v>0</v>
      </c>
      <c r="AI7">
        <f t="shared" si="4"/>
        <v>2026</v>
      </c>
      <c r="AL7" t="s">
        <v>25</v>
      </c>
      <c r="AM7">
        <f t="shared" si="1"/>
        <v>48144072</v>
      </c>
      <c r="AO7" s="2" t="s">
        <v>102</v>
      </c>
      <c r="AQ7">
        <f t="shared" si="5"/>
        <v>2026</v>
      </c>
    </row>
    <row r="8" spans="1:43" x14ac:dyDescent="0.2">
      <c r="A8" t="s">
        <v>31</v>
      </c>
      <c r="B8">
        <v>6684968</v>
      </c>
      <c r="C8">
        <v>0</v>
      </c>
      <c r="E8" s="2" t="s">
        <v>104</v>
      </c>
      <c r="F8">
        <v>3530483</v>
      </c>
      <c r="G8">
        <v>4277</v>
      </c>
      <c r="J8" t="s">
        <v>31</v>
      </c>
      <c r="K8">
        <v>0</v>
      </c>
      <c r="L8">
        <v>4432</v>
      </c>
      <c r="N8" s="2" t="s">
        <v>104</v>
      </c>
      <c r="O8">
        <v>0</v>
      </c>
      <c r="P8">
        <v>233692</v>
      </c>
      <c r="R8" t="s">
        <v>31</v>
      </c>
      <c r="S8">
        <v>0</v>
      </c>
      <c r="T8">
        <v>0</v>
      </c>
      <c r="V8" s="2" t="s">
        <v>104</v>
      </c>
      <c r="W8">
        <v>0</v>
      </c>
      <c r="X8">
        <v>0</v>
      </c>
      <c r="AB8" t="s">
        <v>31</v>
      </c>
      <c r="AC8">
        <f t="shared" si="0"/>
        <v>0</v>
      </c>
      <c r="AD8">
        <f t="shared" si="2"/>
        <v>6689400</v>
      </c>
      <c r="AG8" s="2" t="s">
        <v>104</v>
      </c>
      <c r="AH8">
        <f t="shared" si="3"/>
        <v>4277</v>
      </c>
      <c r="AI8">
        <f t="shared" si="4"/>
        <v>3764175</v>
      </c>
      <c r="AL8" t="s">
        <v>31</v>
      </c>
      <c r="AM8">
        <f t="shared" si="1"/>
        <v>6689400</v>
      </c>
      <c r="AO8" s="2" t="s">
        <v>104</v>
      </c>
      <c r="AQ8">
        <f t="shared" si="5"/>
        <v>3768452</v>
      </c>
    </row>
    <row r="9" spans="1:43" x14ac:dyDescent="0.2">
      <c r="A9" t="s">
        <v>33</v>
      </c>
      <c r="B9">
        <v>1955535</v>
      </c>
      <c r="C9">
        <v>2396</v>
      </c>
      <c r="E9" s="2" t="s">
        <v>107</v>
      </c>
      <c r="F9">
        <v>20600427</v>
      </c>
      <c r="G9">
        <v>9781</v>
      </c>
      <c r="J9" t="s">
        <v>33</v>
      </c>
      <c r="K9">
        <v>0</v>
      </c>
      <c r="L9">
        <v>0</v>
      </c>
      <c r="N9" s="2" t="s">
        <v>107</v>
      </c>
      <c r="O9">
        <v>2004</v>
      </c>
      <c r="P9">
        <v>2119719</v>
      </c>
      <c r="R9" t="s">
        <v>33</v>
      </c>
      <c r="S9">
        <v>0</v>
      </c>
      <c r="T9">
        <v>0</v>
      </c>
      <c r="V9" s="2" t="s">
        <v>107</v>
      </c>
      <c r="W9">
        <v>490</v>
      </c>
      <c r="X9">
        <v>97301</v>
      </c>
      <c r="AB9" t="s">
        <v>33</v>
      </c>
      <c r="AC9">
        <f t="shared" si="0"/>
        <v>2396</v>
      </c>
      <c r="AD9">
        <f t="shared" si="2"/>
        <v>1955535</v>
      </c>
      <c r="AG9" s="2" t="s">
        <v>107</v>
      </c>
      <c r="AH9">
        <f t="shared" si="3"/>
        <v>12275</v>
      </c>
      <c r="AI9">
        <f t="shared" si="4"/>
        <v>22817447</v>
      </c>
      <c r="AL9" t="s">
        <v>33</v>
      </c>
      <c r="AM9">
        <f t="shared" si="1"/>
        <v>1957931</v>
      </c>
      <c r="AO9" s="2" t="s">
        <v>107</v>
      </c>
      <c r="AQ9">
        <f t="shared" si="5"/>
        <v>22829722</v>
      </c>
    </row>
    <row r="10" spans="1:43" x14ac:dyDescent="0.2">
      <c r="A10" t="s">
        <v>35</v>
      </c>
      <c r="B10">
        <v>254950</v>
      </c>
      <c r="C10">
        <v>0</v>
      </c>
      <c r="E10" s="2" t="s">
        <v>111</v>
      </c>
      <c r="F10">
        <v>22217202</v>
      </c>
      <c r="G10">
        <v>0</v>
      </c>
      <c r="J10" t="s">
        <v>35</v>
      </c>
      <c r="K10">
        <v>0</v>
      </c>
      <c r="L10">
        <v>112234</v>
      </c>
      <c r="N10" s="2" t="s">
        <v>111</v>
      </c>
      <c r="O10">
        <v>0</v>
      </c>
      <c r="P10">
        <v>149545</v>
      </c>
      <c r="R10" t="s">
        <v>35</v>
      </c>
      <c r="S10">
        <v>0</v>
      </c>
      <c r="T10">
        <v>1872</v>
      </c>
      <c r="V10" s="2" t="s">
        <v>111</v>
      </c>
      <c r="W10">
        <v>0</v>
      </c>
      <c r="X10">
        <v>0</v>
      </c>
      <c r="AB10" t="s">
        <v>35</v>
      </c>
      <c r="AC10">
        <f t="shared" si="0"/>
        <v>0</v>
      </c>
      <c r="AD10">
        <f t="shared" si="2"/>
        <v>369056</v>
      </c>
      <c r="AG10" s="2" t="s">
        <v>111</v>
      </c>
      <c r="AH10">
        <f t="shared" si="3"/>
        <v>0</v>
      </c>
      <c r="AI10">
        <f t="shared" si="4"/>
        <v>22366747</v>
      </c>
      <c r="AL10" t="s">
        <v>35</v>
      </c>
      <c r="AM10">
        <f t="shared" si="1"/>
        <v>369056</v>
      </c>
      <c r="AO10" s="2" t="s">
        <v>111</v>
      </c>
      <c r="AQ10">
        <f t="shared" si="5"/>
        <v>22366747</v>
      </c>
    </row>
    <row r="11" spans="1:43" x14ac:dyDescent="0.2">
      <c r="A11" t="s">
        <v>38</v>
      </c>
      <c r="B11">
        <v>1275503</v>
      </c>
      <c r="C11">
        <v>0</v>
      </c>
      <c r="E11" s="2" t="s">
        <v>113</v>
      </c>
      <c r="F11">
        <v>59297599</v>
      </c>
      <c r="G11">
        <v>0</v>
      </c>
      <c r="J11" t="s">
        <v>38</v>
      </c>
      <c r="K11">
        <v>1158</v>
      </c>
      <c r="L11">
        <v>0</v>
      </c>
      <c r="N11" s="2" t="s">
        <v>113</v>
      </c>
      <c r="O11">
        <v>0</v>
      </c>
      <c r="P11">
        <v>2441233</v>
      </c>
      <c r="R11" t="s">
        <v>38</v>
      </c>
      <c r="S11">
        <v>0</v>
      </c>
      <c r="T11">
        <v>48351</v>
      </c>
      <c r="V11" s="2" t="s">
        <v>113</v>
      </c>
      <c r="W11">
        <v>0</v>
      </c>
      <c r="X11">
        <v>148476</v>
      </c>
      <c r="AB11" t="s">
        <v>38</v>
      </c>
      <c r="AC11">
        <f t="shared" si="0"/>
        <v>1158</v>
      </c>
      <c r="AD11">
        <f t="shared" si="2"/>
        <v>1323854</v>
      </c>
      <c r="AG11" s="2" t="s">
        <v>113</v>
      </c>
      <c r="AH11">
        <f t="shared" si="3"/>
        <v>0</v>
      </c>
      <c r="AI11">
        <f t="shared" si="4"/>
        <v>61887308</v>
      </c>
      <c r="AL11" t="s">
        <v>38</v>
      </c>
      <c r="AM11">
        <f t="shared" si="1"/>
        <v>1325012</v>
      </c>
      <c r="AO11" s="2" t="s">
        <v>113</v>
      </c>
      <c r="AQ11">
        <f t="shared" si="5"/>
        <v>61887308</v>
      </c>
    </row>
    <row r="12" spans="1:43" x14ac:dyDescent="0.2">
      <c r="A12" t="s">
        <v>41</v>
      </c>
      <c r="B12">
        <v>451032</v>
      </c>
      <c r="C12">
        <v>0</v>
      </c>
      <c r="E12" s="2" t="s">
        <v>116</v>
      </c>
      <c r="F12">
        <v>26797068</v>
      </c>
      <c r="G12">
        <v>0</v>
      </c>
      <c r="J12" t="s">
        <v>41</v>
      </c>
      <c r="K12">
        <v>0</v>
      </c>
      <c r="L12">
        <v>0</v>
      </c>
      <c r="N12" s="2" t="s">
        <v>116</v>
      </c>
      <c r="O12">
        <v>0</v>
      </c>
      <c r="P12">
        <v>4390365</v>
      </c>
      <c r="R12" t="s">
        <v>41</v>
      </c>
      <c r="S12">
        <v>0</v>
      </c>
      <c r="T12">
        <v>0</v>
      </c>
      <c r="V12" s="2" t="s">
        <v>116</v>
      </c>
      <c r="W12">
        <v>0</v>
      </c>
      <c r="X12">
        <v>795</v>
      </c>
      <c r="AB12" t="s">
        <v>41</v>
      </c>
      <c r="AC12">
        <f t="shared" si="0"/>
        <v>0</v>
      </c>
      <c r="AD12">
        <f t="shared" si="2"/>
        <v>451032</v>
      </c>
      <c r="AG12" s="2" t="s">
        <v>116</v>
      </c>
      <c r="AH12">
        <f t="shared" si="3"/>
        <v>0</v>
      </c>
      <c r="AI12">
        <f t="shared" si="4"/>
        <v>31188228</v>
      </c>
      <c r="AL12" t="s">
        <v>41</v>
      </c>
      <c r="AM12">
        <f t="shared" si="1"/>
        <v>451032</v>
      </c>
      <c r="AO12" s="2" t="s">
        <v>116</v>
      </c>
      <c r="AQ12">
        <f t="shared" si="5"/>
        <v>31188228</v>
      </c>
    </row>
    <row r="13" spans="1:43" x14ac:dyDescent="0.2">
      <c r="A13" t="s">
        <v>43</v>
      </c>
      <c r="B13">
        <v>102222</v>
      </c>
      <c r="C13">
        <v>225</v>
      </c>
      <c r="E13" s="2" t="s">
        <v>118</v>
      </c>
      <c r="F13">
        <v>128362304</v>
      </c>
      <c r="G13">
        <v>0</v>
      </c>
      <c r="J13" t="s">
        <v>43</v>
      </c>
      <c r="K13">
        <v>0</v>
      </c>
      <c r="L13">
        <v>0</v>
      </c>
      <c r="N13" s="2" t="s">
        <v>118</v>
      </c>
      <c r="O13">
        <v>0</v>
      </c>
      <c r="P13">
        <v>0</v>
      </c>
      <c r="R13" t="s">
        <v>43</v>
      </c>
      <c r="S13">
        <v>0</v>
      </c>
      <c r="T13">
        <v>0</v>
      </c>
      <c r="V13" s="2" t="s">
        <v>118</v>
      </c>
      <c r="W13">
        <v>0</v>
      </c>
      <c r="X13">
        <v>96561</v>
      </c>
      <c r="AB13" t="s">
        <v>43</v>
      </c>
      <c r="AC13">
        <f t="shared" si="0"/>
        <v>225</v>
      </c>
      <c r="AD13">
        <f t="shared" si="2"/>
        <v>102222</v>
      </c>
      <c r="AG13" s="2" t="s">
        <v>118</v>
      </c>
      <c r="AH13">
        <f t="shared" si="3"/>
        <v>0</v>
      </c>
      <c r="AI13">
        <f t="shared" si="4"/>
        <v>128458865</v>
      </c>
      <c r="AL13" t="s">
        <v>43</v>
      </c>
      <c r="AM13">
        <f t="shared" si="1"/>
        <v>102447</v>
      </c>
      <c r="AO13" s="2" t="s">
        <v>118</v>
      </c>
      <c r="AQ13">
        <f t="shared" si="5"/>
        <v>128458865</v>
      </c>
    </row>
    <row r="14" spans="1:43" x14ac:dyDescent="0.2">
      <c r="A14" t="s">
        <v>45</v>
      </c>
      <c r="B14">
        <v>2184123</v>
      </c>
      <c r="C14">
        <v>0</v>
      </c>
      <c r="E14" s="2" t="s">
        <v>120</v>
      </c>
      <c r="F14">
        <v>23691466</v>
      </c>
      <c r="G14">
        <v>64538</v>
      </c>
      <c r="J14" t="s">
        <v>45</v>
      </c>
      <c r="K14">
        <v>0</v>
      </c>
      <c r="L14">
        <v>0</v>
      </c>
      <c r="N14" s="2" t="s">
        <v>120</v>
      </c>
      <c r="O14">
        <v>29218</v>
      </c>
      <c r="P14">
        <v>3253963</v>
      </c>
      <c r="R14" t="s">
        <v>45</v>
      </c>
      <c r="S14">
        <v>0</v>
      </c>
      <c r="T14">
        <v>0</v>
      </c>
      <c r="V14" s="2" t="s">
        <v>120</v>
      </c>
      <c r="W14">
        <v>21648</v>
      </c>
      <c r="X14">
        <v>101184</v>
      </c>
      <c r="AB14" t="s">
        <v>45</v>
      </c>
      <c r="AC14">
        <f t="shared" si="0"/>
        <v>0</v>
      </c>
      <c r="AD14">
        <f t="shared" si="2"/>
        <v>2184123</v>
      </c>
      <c r="AG14" s="2" t="s">
        <v>120</v>
      </c>
      <c r="AH14">
        <f t="shared" si="3"/>
        <v>115404</v>
      </c>
      <c r="AI14">
        <f t="shared" si="4"/>
        <v>27046613</v>
      </c>
      <c r="AL14" t="s">
        <v>45</v>
      </c>
      <c r="AM14">
        <f t="shared" si="1"/>
        <v>2184123</v>
      </c>
      <c r="AO14" s="2" t="s">
        <v>120</v>
      </c>
      <c r="AQ14">
        <f t="shared" si="5"/>
        <v>27162017</v>
      </c>
    </row>
    <row r="15" spans="1:43" x14ac:dyDescent="0.2">
      <c r="A15" t="s">
        <v>51</v>
      </c>
      <c r="B15">
        <v>1630137</v>
      </c>
      <c r="C15">
        <v>0</v>
      </c>
      <c r="E15" s="2" t="s">
        <v>124</v>
      </c>
      <c r="F15">
        <v>316735</v>
      </c>
      <c r="G15">
        <v>0</v>
      </c>
      <c r="J15" t="s">
        <v>51</v>
      </c>
      <c r="K15">
        <v>0</v>
      </c>
      <c r="L15">
        <v>0</v>
      </c>
      <c r="N15" s="2" t="s">
        <v>124</v>
      </c>
      <c r="O15">
        <v>0</v>
      </c>
      <c r="P15">
        <v>3392</v>
      </c>
      <c r="R15" t="s">
        <v>51</v>
      </c>
      <c r="S15">
        <v>0</v>
      </c>
      <c r="T15">
        <v>0</v>
      </c>
      <c r="V15" s="2" t="s">
        <v>124</v>
      </c>
      <c r="W15">
        <v>0</v>
      </c>
      <c r="X15">
        <v>0</v>
      </c>
      <c r="AB15" t="s">
        <v>51</v>
      </c>
      <c r="AC15">
        <f t="shared" si="0"/>
        <v>0</v>
      </c>
      <c r="AD15">
        <f t="shared" si="2"/>
        <v>1630137</v>
      </c>
      <c r="AG15" s="2" t="s">
        <v>124</v>
      </c>
      <c r="AH15">
        <f t="shared" si="3"/>
        <v>0</v>
      </c>
      <c r="AI15">
        <f t="shared" si="4"/>
        <v>320127</v>
      </c>
      <c r="AL15" t="s">
        <v>51</v>
      </c>
      <c r="AM15">
        <f t="shared" si="1"/>
        <v>1630137</v>
      </c>
      <c r="AO15" s="2" t="s">
        <v>124</v>
      </c>
      <c r="AQ15">
        <f t="shared" si="5"/>
        <v>320127</v>
      </c>
    </row>
    <row r="16" spans="1:43" x14ac:dyDescent="0.2">
      <c r="A16" t="s">
        <v>52</v>
      </c>
      <c r="B16">
        <v>296121</v>
      </c>
      <c r="C16">
        <v>0</v>
      </c>
      <c r="E16" s="2" t="s">
        <v>126</v>
      </c>
      <c r="F16">
        <v>509492</v>
      </c>
      <c r="G16">
        <v>0</v>
      </c>
      <c r="J16" t="s">
        <v>52</v>
      </c>
      <c r="K16">
        <v>971</v>
      </c>
      <c r="L16">
        <v>1728</v>
      </c>
      <c r="N16" s="2" t="s">
        <v>126</v>
      </c>
      <c r="O16">
        <v>0</v>
      </c>
      <c r="P16">
        <v>3837</v>
      </c>
      <c r="R16" t="s">
        <v>52</v>
      </c>
      <c r="S16">
        <v>0</v>
      </c>
      <c r="T16">
        <v>0</v>
      </c>
      <c r="V16" s="2" t="s">
        <v>126</v>
      </c>
      <c r="W16">
        <v>0</v>
      </c>
      <c r="X16">
        <v>0</v>
      </c>
      <c r="AB16" t="s">
        <v>52</v>
      </c>
      <c r="AC16">
        <f t="shared" si="0"/>
        <v>971</v>
      </c>
      <c r="AD16">
        <f t="shared" si="2"/>
        <v>297849</v>
      </c>
      <c r="AG16" s="2" t="s">
        <v>126</v>
      </c>
      <c r="AH16">
        <f t="shared" si="3"/>
        <v>0</v>
      </c>
      <c r="AI16">
        <f t="shared" si="4"/>
        <v>513329</v>
      </c>
      <c r="AL16" t="s">
        <v>52</v>
      </c>
      <c r="AM16">
        <f t="shared" si="1"/>
        <v>298820</v>
      </c>
      <c r="AO16" s="2" t="s">
        <v>126</v>
      </c>
      <c r="AQ16">
        <f t="shared" si="5"/>
        <v>513329</v>
      </c>
    </row>
    <row r="17" spans="1:43" x14ac:dyDescent="0.2">
      <c r="A17" t="s">
        <v>55</v>
      </c>
      <c r="B17">
        <v>47764343</v>
      </c>
      <c r="C17">
        <v>4886</v>
      </c>
      <c r="E17" s="2" t="s">
        <v>128</v>
      </c>
      <c r="F17">
        <v>2683027</v>
      </c>
      <c r="G17">
        <v>0</v>
      </c>
      <c r="J17" t="s">
        <v>55</v>
      </c>
      <c r="K17">
        <v>0</v>
      </c>
      <c r="L17">
        <v>510677</v>
      </c>
      <c r="N17" s="2" t="s">
        <v>128</v>
      </c>
      <c r="O17">
        <v>0</v>
      </c>
      <c r="P17">
        <v>1476815</v>
      </c>
      <c r="R17" t="s">
        <v>55</v>
      </c>
      <c r="S17">
        <v>0</v>
      </c>
      <c r="T17">
        <v>75835</v>
      </c>
      <c r="V17" s="2" t="s">
        <v>128</v>
      </c>
      <c r="W17">
        <v>0</v>
      </c>
      <c r="X17">
        <v>730851</v>
      </c>
      <c r="AB17" t="s">
        <v>55</v>
      </c>
      <c r="AC17">
        <f t="shared" si="0"/>
        <v>4886</v>
      </c>
      <c r="AD17">
        <f t="shared" si="2"/>
        <v>48350855</v>
      </c>
      <c r="AG17" s="2" t="s">
        <v>128</v>
      </c>
      <c r="AH17">
        <f t="shared" si="3"/>
        <v>0</v>
      </c>
      <c r="AI17">
        <f t="shared" si="4"/>
        <v>4890693</v>
      </c>
      <c r="AL17" t="s">
        <v>55</v>
      </c>
      <c r="AM17">
        <f t="shared" si="1"/>
        <v>48355741</v>
      </c>
      <c r="AO17" s="2" t="s">
        <v>128</v>
      </c>
      <c r="AQ17">
        <f t="shared" si="5"/>
        <v>4890693</v>
      </c>
    </row>
    <row r="18" spans="1:43" x14ac:dyDescent="0.2">
      <c r="A18" t="s">
        <v>59</v>
      </c>
      <c r="B18">
        <v>63501</v>
      </c>
      <c r="C18">
        <v>0</v>
      </c>
      <c r="E18" s="2" t="s">
        <v>131</v>
      </c>
      <c r="F18">
        <v>10098469</v>
      </c>
      <c r="G18">
        <v>0</v>
      </c>
      <c r="J18" t="s">
        <v>59</v>
      </c>
      <c r="K18">
        <v>0</v>
      </c>
      <c r="L18">
        <v>0</v>
      </c>
      <c r="N18" s="2" t="s">
        <v>131</v>
      </c>
      <c r="O18">
        <v>0</v>
      </c>
      <c r="P18">
        <v>4383814</v>
      </c>
      <c r="R18" t="s">
        <v>59</v>
      </c>
      <c r="S18">
        <v>0</v>
      </c>
      <c r="T18">
        <v>0</v>
      </c>
      <c r="V18" s="2" t="s">
        <v>131</v>
      </c>
      <c r="W18">
        <v>0</v>
      </c>
      <c r="X18">
        <v>22240</v>
      </c>
      <c r="AB18" t="s">
        <v>59</v>
      </c>
      <c r="AC18">
        <f t="shared" si="0"/>
        <v>0</v>
      </c>
      <c r="AD18">
        <f t="shared" si="2"/>
        <v>63501</v>
      </c>
      <c r="AG18" s="2" t="s">
        <v>131</v>
      </c>
      <c r="AH18">
        <f t="shared" si="3"/>
        <v>0</v>
      </c>
      <c r="AI18">
        <f t="shared" si="4"/>
        <v>14504523</v>
      </c>
      <c r="AL18" t="s">
        <v>59</v>
      </c>
      <c r="AM18">
        <f t="shared" si="1"/>
        <v>63501</v>
      </c>
      <c r="AO18" s="2" t="s">
        <v>131</v>
      </c>
      <c r="AQ18">
        <f t="shared" si="5"/>
        <v>14504523</v>
      </c>
    </row>
    <row r="19" spans="1:43" x14ac:dyDescent="0.2">
      <c r="A19" t="s">
        <v>60</v>
      </c>
      <c r="B19">
        <v>252873</v>
      </c>
      <c r="C19">
        <v>0</v>
      </c>
      <c r="E19" s="2" t="s">
        <v>134</v>
      </c>
      <c r="F19">
        <v>23462265</v>
      </c>
      <c r="G19">
        <v>65215</v>
      </c>
      <c r="J19" t="s">
        <v>60</v>
      </c>
      <c r="K19">
        <v>0</v>
      </c>
      <c r="L19">
        <v>0</v>
      </c>
      <c r="N19" s="2" t="s">
        <v>134</v>
      </c>
      <c r="O19">
        <v>27390</v>
      </c>
      <c r="P19">
        <v>2792400</v>
      </c>
      <c r="R19" t="s">
        <v>60</v>
      </c>
      <c r="S19">
        <v>0</v>
      </c>
      <c r="T19">
        <v>0</v>
      </c>
      <c r="V19" s="2" t="s">
        <v>134</v>
      </c>
      <c r="W19">
        <v>24108</v>
      </c>
      <c r="X19">
        <v>410949</v>
      </c>
      <c r="AB19" t="s">
        <v>60</v>
      </c>
      <c r="AC19">
        <f t="shared" si="0"/>
        <v>0</v>
      </c>
      <c r="AD19">
        <f t="shared" si="2"/>
        <v>252873</v>
      </c>
      <c r="AG19" s="2" t="s">
        <v>134</v>
      </c>
      <c r="AH19">
        <f t="shared" si="3"/>
        <v>116713</v>
      </c>
      <c r="AI19">
        <f t="shared" si="4"/>
        <v>26665614</v>
      </c>
      <c r="AL19" t="s">
        <v>60</v>
      </c>
      <c r="AM19">
        <f t="shared" si="1"/>
        <v>252873</v>
      </c>
      <c r="AO19" s="2" t="s">
        <v>134</v>
      </c>
      <c r="AQ19">
        <f t="shared" si="5"/>
        <v>26782327</v>
      </c>
    </row>
    <row r="20" spans="1:43" x14ac:dyDescent="0.2">
      <c r="A20" t="s">
        <v>61</v>
      </c>
      <c r="B20">
        <v>3017084</v>
      </c>
      <c r="C20">
        <v>0</v>
      </c>
      <c r="E20" s="2" t="s">
        <v>138</v>
      </c>
      <c r="F20">
        <v>4186990</v>
      </c>
      <c r="G20">
        <v>5411</v>
      </c>
      <c r="J20" t="s">
        <v>61</v>
      </c>
      <c r="K20">
        <v>0</v>
      </c>
      <c r="L20">
        <v>0</v>
      </c>
      <c r="N20" s="2" t="s">
        <v>138</v>
      </c>
      <c r="O20">
        <v>6266</v>
      </c>
      <c r="P20">
        <v>1899306</v>
      </c>
      <c r="R20" t="s">
        <v>61</v>
      </c>
      <c r="S20">
        <v>0</v>
      </c>
      <c r="T20">
        <v>0</v>
      </c>
      <c r="V20" s="2" t="s">
        <v>138</v>
      </c>
      <c r="W20">
        <v>1452</v>
      </c>
      <c r="X20">
        <v>103711</v>
      </c>
      <c r="AB20" t="s">
        <v>61</v>
      </c>
      <c r="AC20">
        <f t="shared" si="0"/>
        <v>0</v>
      </c>
      <c r="AD20">
        <f t="shared" si="2"/>
        <v>3017084</v>
      </c>
      <c r="AG20" s="2" t="s">
        <v>138</v>
      </c>
      <c r="AH20">
        <f t="shared" si="3"/>
        <v>13129</v>
      </c>
      <c r="AI20">
        <f t="shared" si="4"/>
        <v>6190007</v>
      </c>
      <c r="AL20" t="s">
        <v>61</v>
      </c>
      <c r="AM20">
        <f t="shared" si="1"/>
        <v>3017084</v>
      </c>
      <c r="AO20" s="2" t="s">
        <v>138</v>
      </c>
      <c r="AQ20">
        <f t="shared" si="5"/>
        <v>6203136</v>
      </c>
    </row>
    <row r="21" spans="1:43" x14ac:dyDescent="0.2">
      <c r="A21" t="s">
        <v>62</v>
      </c>
      <c r="B21">
        <v>506684</v>
      </c>
      <c r="C21">
        <v>0</v>
      </c>
      <c r="E21" s="2" t="s">
        <v>142</v>
      </c>
      <c r="F21">
        <v>5595226</v>
      </c>
      <c r="G21">
        <v>0</v>
      </c>
      <c r="J21" t="s">
        <v>62</v>
      </c>
      <c r="K21">
        <v>0</v>
      </c>
      <c r="L21">
        <v>0</v>
      </c>
      <c r="N21" s="2" t="s">
        <v>142</v>
      </c>
      <c r="O21">
        <v>0</v>
      </c>
      <c r="P21">
        <v>2867209</v>
      </c>
      <c r="R21" t="s">
        <v>62</v>
      </c>
      <c r="S21">
        <v>0</v>
      </c>
      <c r="T21">
        <v>0</v>
      </c>
      <c r="V21" s="2" t="s">
        <v>142</v>
      </c>
      <c r="W21">
        <v>0</v>
      </c>
      <c r="X21">
        <v>295</v>
      </c>
      <c r="AB21" t="s">
        <v>62</v>
      </c>
      <c r="AC21">
        <f t="shared" si="0"/>
        <v>0</v>
      </c>
      <c r="AD21">
        <f t="shared" si="2"/>
        <v>506684</v>
      </c>
      <c r="AG21" s="2" t="s">
        <v>142</v>
      </c>
      <c r="AH21">
        <f t="shared" si="3"/>
        <v>0</v>
      </c>
      <c r="AI21">
        <f t="shared" si="4"/>
        <v>8462730</v>
      </c>
      <c r="AL21" t="s">
        <v>62</v>
      </c>
      <c r="AM21">
        <f t="shared" si="1"/>
        <v>506684</v>
      </c>
      <c r="AO21" s="2" t="s">
        <v>142</v>
      </c>
      <c r="AQ21">
        <f t="shared" si="5"/>
        <v>8462730</v>
      </c>
    </row>
    <row r="22" spans="1:43" x14ac:dyDescent="0.2">
      <c r="A22" t="s">
        <v>66</v>
      </c>
      <c r="B22">
        <v>12342173</v>
      </c>
      <c r="C22">
        <v>0</v>
      </c>
      <c r="E22" s="2" t="s">
        <v>144</v>
      </c>
      <c r="F22">
        <v>7390527</v>
      </c>
      <c r="G22">
        <v>0</v>
      </c>
      <c r="J22" t="s">
        <v>66</v>
      </c>
      <c r="K22">
        <v>0</v>
      </c>
      <c r="L22">
        <v>4108</v>
      </c>
      <c r="N22" s="2" t="s">
        <v>144</v>
      </c>
      <c r="O22">
        <v>0</v>
      </c>
      <c r="P22">
        <v>179493</v>
      </c>
      <c r="R22" t="s">
        <v>66</v>
      </c>
      <c r="S22">
        <v>0</v>
      </c>
      <c r="T22">
        <v>0</v>
      </c>
      <c r="V22" s="2" t="s">
        <v>144</v>
      </c>
      <c r="W22">
        <v>0</v>
      </c>
      <c r="X22">
        <v>0</v>
      </c>
      <c r="AB22" t="s">
        <v>66</v>
      </c>
      <c r="AC22">
        <f t="shared" si="0"/>
        <v>0</v>
      </c>
      <c r="AD22">
        <f t="shared" si="2"/>
        <v>12346281</v>
      </c>
      <c r="AG22" s="2" t="s">
        <v>144</v>
      </c>
      <c r="AH22">
        <f t="shared" si="3"/>
        <v>0</v>
      </c>
      <c r="AI22">
        <f t="shared" si="4"/>
        <v>7570020</v>
      </c>
      <c r="AL22" t="s">
        <v>66</v>
      </c>
      <c r="AM22">
        <f t="shared" si="1"/>
        <v>12346281</v>
      </c>
      <c r="AO22" s="2" t="s">
        <v>144</v>
      </c>
      <c r="AQ22">
        <f t="shared" si="5"/>
        <v>7570020</v>
      </c>
    </row>
    <row r="23" spans="1:43" x14ac:dyDescent="0.2">
      <c r="A23" t="s">
        <v>68</v>
      </c>
      <c r="B23">
        <v>79398483</v>
      </c>
      <c r="C23">
        <v>30280</v>
      </c>
      <c r="E23" s="2" t="s">
        <v>145</v>
      </c>
      <c r="F23">
        <v>4922294</v>
      </c>
      <c r="G23">
        <v>0</v>
      </c>
      <c r="J23" t="s">
        <v>68</v>
      </c>
      <c r="K23">
        <v>0</v>
      </c>
      <c r="L23">
        <v>519126</v>
      </c>
      <c r="N23" s="2" t="s">
        <v>145</v>
      </c>
      <c r="O23">
        <v>0</v>
      </c>
      <c r="P23">
        <v>229934</v>
      </c>
      <c r="R23" t="s">
        <v>68</v>
      </c>
      <c r="S23">
        <v>0</v>
      </c>
      <c r="T23">
        <v>92367</v>
      </c>
      <c r="V23" s="2" t="s">
        <v>145</v>
      </c>
      <c r="W23">
        <v>0</v>
      </c>
      <c r="X23">
        <v>90836</v>
      </c>
      <c r="AB23" t="s">
        <v>68</v>
      </c>
      <c r="AC23">
        <f t="shared" si="0"/>
        <v>30280</v>
      </c>
      <c r="AD23">
        <f t="shared" si="2"/>
        <v>80009976</v>
      </c>
      <c r="AG23" s="2" t="s">
        <v>145</v>
      </c>
      <c r="AH23">
        <f t="shared" si="3"/>
        <v>0</v>
      </c>
      <c r="AI23">
        <f t="shared" si="4"/>
        <v>5243064</v>
      </c>
      <c r="AL23" t="s">
        <v>68</v>
      </c>
      <c r="AM23">
        <f t="shared" si="1"/>
        <v>80040256</v>
      </c>
      <c r="AO23" s="2" t="s">
        <v>145</v>
      </c>
      <c r="AQ23">
        <f t="shared" si="5"/>
        <v>5243064</v>
      </c>
    </row>
    <row r="24" spans="1:43" x14ac:dyDescent="0.2">
      <c r="A24" t="s">
        <v>72</v>
      </c>
      <c r="B24">
        <v>4748721</v>
      </c>
      <c r="C24">
        <v>0</v>
      </c>
      <c r="E24" s="2" t="s">
        <v>147</v>
      </c>
      <c r="F24">
        <v>33941336</v>
      </c>
      <c r="G24">
        <v>137007</v>
      </c>
      <c r="J24" t="s">
        <v>72</v>
      </c>
      <c r="K24">
        <v>0</v>
      </c>
      <c r="L24">
        <v>1011039</v>
      </c>
      <c r="N24" s="2" t="s">
        <v>147</v>
      </c>
      <c r="O24">
        <v>90361</v>
      </c>
      <c r="P24">
        <v>3833279</v>
      </c>
      <c r="R24" t="s">
        <v>72</v>
      </c>
      <c r="S24">
        <v>0</v>
      </c>
      <c r="T24">
        <v>19828</v>
      </c>
      <c r="V24" s="2" t="s">
        <v>147</v>
      </c>
      <c r="W24">
        <v>35115</v>
      </c>
      <c r="X24">
        <v>194701</v>
      </c>
      <c r="AB24" t="s">
        <v>72</v>
      </c>
      <c r="AC24">
        <f t="shared" si="0"/>
        <v>0</v>
      </c>
      <c r="AD24">
        <f t="shared" si="2"/>
        <v>5779588</v>
      </c>
      <c r="AG24" s="2" t="s">
        <v>147</v>
      </c>
      <c r="AH24">
        <f t="shared" si="3"/>
        <v>262483</v>
      </c>
      <c r="AI24">
        <f t="shared" si="4"/>
        <v>37969316</v>
      </c>
      <c r="AL24" t="s">
        <v>72</v>
      </c>
      <c r="AM24">
        <f t="shared" si="1"/>
        <v>5779588</v>
      </c>
      <c r="AO24" s="2" t="s">
        <v>147</v>
      </c>
      <c r="AQ24">
        <f t="shared" si="5"/>
        <v>38231799</v>
      </c>
    </row>
    <row r="25" spans="1:43" x14ac:dyDescent="0.2">
      <c r="A25" t="s">
        <v>75</v>
      </c>
      <c r="B25">
        <v>18610214</v>
      </c>
      <c r="C25">
        <v>0</v>
      </c>
      <c r="E25" s="2" t="s">
        <v>153</v>
      </c>
      <c r="F25">
        <v>3901970</v>
      </c>
      <c r="G25">
        <v>0</v>
      </c>
      <c r="J25" t="s">
        <v>75</v>
      </c>
      <c r="K25">
        <v>0</v>
      </c>
      <c r="L25">
        <v>0</v>
      </c>
      <c r="N25" s="2" t="s">
        <v>153</v>
      </c>
      <c r="O25">
        <v>0</v>
      </c>
      <c r="P25">
        <v>0</v>
      </c>
      <c r="R25" t="s">
        <v>75</v>
      </c>
      <c r="S25">
        <v>0</v>
      </c>
      <c r="T25">
        <v>0</v>
      </c>
      <c r="V25" s="2" t="s">
        <v>153</v>
      </c>
      <c r="W25">
        <v>0</v>
      </c>
      <c r="X25">
        <v>0</v>
      </c>
      <c r="AB25" t="s">
        <v>75</v>
      </c>
      <c r="AC25">
        <f t="shared" si="0"/>
        <v>0</v>
      </c>
      <c r="AD25">
        <f t="shared" si="2"/>
        <v>18610214</v>
      </c>
      <c r="AG25" s="2" t="s">
        <v>153</v>
      </c>
      <c r="AH25">
        <f t="shared" si="3"/>
        <v>0</v>
      </c>
      <c r="AI25">
        <f t="shared" si="4"/>
        <v>3901970</v>
      </c>
      <c r="AL25" t="s">
        <v>75</v>
      </c>
      <c r="AM25">
        <f t="shared" si="1"/>
        <v>18610214</v>
      </c>
      <c r="AO25" s="2" t="s">
        <v>153</v>
      </c>
      <c r="AQ25">
        <f t="shared" si="5"/>
        <v>3901970</v>
      </c>
    </row>
    <row r="26" spans="1:43" x14ac:dyDescent="0.2">
      <c r="A26" t="s">
        <v>76</v>
      </c>
      <c r="B26">
        <v>2231334</v>
      </c>
      <c r="C26">
        <v>0</v>
      </c>
      <c r="E26" s="2" t="s">
        <v>154</v>
      </c>
      <c r="F26">
        <v>53979966</v>
      </c>
      <c r="G26">
        <v>0</v>
      </c>
      <c r="J26" t="s">
        <v>76</v>
      </c>
      <c r="K26">
        <v>0</v>
      </c>
      <c r="L26">
        <v>59754</v>
      </c>
      <c r="N26" s="2" t="s">
        <v>154</v>
      </c>
      <c r="O26">
        <v>0</v>
      </c>
      <c r="P26">
        <v>535227</v>
      </c>
      <c r="R26" t="s">
        <v>76</v>
      </c>
      <c r="S26">
        <v>0</v>
      </c>
      <c r="T26">
        <v>0</v>
      </c>
      <c r="V26" s="2" t="s">
        <v>154</v>
      </c>
      <c r="W26">
        <v>0</v>
      </c>
      <c r="X26">
        <v>29687</v>
      </c>
      <c r="AB26" t="s">
        <v>76</v>
      </c>
      <c r="AC26">
        <f t="shared" si="0"/>
        <v>0</v>
      </c>
      <c r="AD26">
        <f t="shared" si="2"/>
        <v>2291088</v>
      </c>
      <c r="AG26" s="2" t="s">
        <v>154</v>
      </c>
      <c r="AH26">
        <f t="shared" si="3"/>
        <v>0</v>
      </c>
      <c r="AI26">
        <f t="shared" si="4"/>
        <v>54544880</v>
      </c>
      <c r="AL26" t="s">
        <v>76</v>
      </c>
      <c r="AM26">
        <f t="shared" si="1"/>
        <v>2291088</v>
      </c>
      <c r="AO26" s="2" t="s">
        <v>154</v>
      </c>
      <c r="AQ26">
        <f t="shared" si="5"/>
        <v>54544880</v>
      </c>
    </row>
    <row r="27" spans="1:43" x14ac:dyDescent="0.2">
      <c r="A27" t="s">
        <v>78</v>
      </c>
      <c r="B27">
        <v>783299</v>
      </c>
      <c r="C27">
        <v>0</v>
      </c>
      <c r="E27" s="2" t="s">
        <v>156</v>
      </c>
      <c r="F27">
        <v>36544647</v>
      </c>
      <c r="G27">
        <v>530</v>
      </c>
      <c r="J27" t="s">
        <v>78</v>
      </c>
      <c r="K27">
        <v>0</v>
      </c>
      <c r="L27">
        <v>0</v>
      </c>
      <c r="N27" s="2" t="s">
        <v>156</v>
      </c>
      <c r="O27">
        <v>1231</v>
      </c>
      <c r="P27">
        <v>7578723</v>
      </c>
      <c r="R27" t="s">
        <v>78</v>
      </c>
      <c r="S27">
        <v>0</v>
      </c>
      <c r="T27">
        <v>0</v>
      </c>
      <c r="V27" s="2" t="s">
        <v>156</v>
      </c>
      <c r="W27">
        <v>984</v>
      </c>
      <c r="X27">
        <v>94891</v>
      </c>
      <c r="AB27" t="s">
        <v>78</v>
      </c>
      <c r="AC27">
        <f t="shared" si="0"/>
        <v>0</v>
      </c>
      <c r="AD27">
        <f t="shared" si="2"/>
        <v>783299</v>
      </c>
      <c r="AG27" s="2" t="s">
        <v>156</v>
      </c>
      <c r="AH27">
        <f t="shared" si="3"/>
        <v>2745</v>
      </c>
      <c r="AI27">
        <f t="shared" si="4"/>
        <v>44218261</v>
      </c>
      <c r="AL27" t="s">
        <v>78</v>
      </c>
      <c r="AM27">
        <f t="shared" si="1"/>
        <v>783299</v>
      </c>
      <c r="AO27" s="2" t="s">
        <v>156</v>
      </c>
      <c r="AQ27">
        <f t="shared" si="5"/>
        <v>44221006</v>
      </c>
    </row>
    <row r="28" spans="1:43" x14ac:dyDescent="0.2">
      <c r="A28" t="s">
        <v>79</v>
      </c>
      <c r="B28">
        <v>350433</v>
      </c>
      <c r="C28">
        <v>0</v>
      </c>
      <c r="E28" s="2" t="s">
        <v>165</v>
      </c>
      <c r="F28">
        <v>8510948</v>
      </c>
      <c r="G28">
        <v>0</v>
      </c>
      <c r="J28" t="s">
        <v>79</v>
      </c>
      <c r="K28">
        <v>0</v>
      </c>
      <c r="L28">
        <v>40915</v>
      </c>
      <c r="N28" s="2" t="s">
        <v>165</v>
      </c>
      <c r="O28">
        <v>0</v>
      </c>
      <c r="P28">
        <v>344657</v>
      </c>
      <c r="R28" t="s">
        <v>79</v>
      </c>
      <c r="S28">
        <v>0</v>
      </c>
      <c r="T28">
        <v>0</v>
      </c>
      <c r="V28" s="2" t="s">
        <v>165</v>
      </c>
      <c r="W28">
        <v>0</v>
      </c>
      <c r="X28">
        <v>0</v>
      </c>
      <c r="AB28" t="s">
        <v>79</v>
      </c>
      <c r="AC28">
        <f t="shared" si="0"/>
        <v>0</v>
      </c>
      <c r="AD28">
        <f t="shared" si="2"/>
        <v>391348</v>
      </c>
      <c r="AG28" s="2" t="s">
        <v>165</v>
      </c>
      <c r="AH28">
        <f t="shared" si="3"/>
        <v>0</v>
      </c>
      <c r="AI28">
        <f t="shared" si="4"/>
        <v>8855605</v>
      </c>
      <c r="AL28" t="s">
        <v>79</v>
      </c>
      <c r="AM28">
        <f t="shared" si="1"/>
        <v>391348</v>
      </c>
      <c r="AO28" s="2" t="s">
        <v>165</v>
      </c>
      <c r="AQ28">
        <f t="shared" si="5"/>
        <v>8855605</v>
      </c>
    </row>
    <row r="29" spans="1:43" x14ac:dyDescent="0.2">
      <c r="A29" t="s">
        <v>81</v>
      </c>
      <c r="B29">
        <v>2942280</v>
      </c>
      <c r="C29">
        <v>0</v>
      </c>
      <c r="E29" s="2" t="s">
        <v>167</v>
      </c>
      <c r="F29">
        <v>16624667</v>
      </c>
      <c r="G29">
        <v>0</v>
      </c>
      <c r="J29" t="s">
        <v>81</v>
      </c>
      <c r="K29">
        <v>0</v>
      </c>
      <c r="L29">
        <v>0</v>
      </c>
      <c r="N29" s="2" t="s">
        <v>167</v>
      </c>
      <c r="O29">
        <v>0</v>
      </c>
      <c r="P29">
        <v>12038966</v>
      </c>
      <c r="R29" t="s">
        <v>81</v>
      </c>
      <c r="S29">
        <v>0</v>
      </c>
      <c r="T29">
        <v>0</v>
      </c>
      <c r="V29" s="2" t="s">
        <v>167</v>
      </c>
      <c r="W29">
        <v>0</v>
      </c>
      <c r="X29">
        <v>915</v>
      </c>
      <c r="AB29" t="s">
        <v>81</v>
      </c>
      <c r="AC29">
        <f t="shared" si="0"/>
        <v>0</v>
      </c>
      <c r="AD29">
        <f>B29+L29+T29</f>
        <v>2942280</v>
      </c>
      <c r="AG29" s="2" t="s">
        <v>167</v>
      </c>
      <c r="AH29">
        <f t="shared" si="3"/>
        <v>0</v>
      </c>
      <c r="AI29">
        <f t="shared" si="4"/>
        <v>28664548</v>
      </c>
      <c r="AL29" t="s">
        <v>81</v>
      </c>
      <c r="AM29">
        <f t="shared" si="1"/>
        <v>2942280</v>
      </c>
      <c r="AO29" s="2" t="s">
        <v>167</v>
      </c>
      <c r="AQ29">
        <f t="shared" si="5"/>
        <v>28664548</v>
      </c>
    </row>
    <row r="30" spans="1:43" x14ac:dyDescent="0.2">
      <c r="E30" s="2" t="s">
        <v>169</v>
      </c>
      <c r="F30">
        <v>76314</v>
      </c>
      <c r="G30">
        <v>0</v>
      </c>
      <c r="N30" s="2" t="s">
        <v>169</v>
      </c>
      <c r="O30">
        <v>0</v>
      </c>
      <c r="P30">
        <v>191040</v>
      </c>
      <c r="V30" s="2" t="s">
        <v>169</v>
      </c>
      <c r="W30">
        <v>0</v>
      </c>
      <c r="X30">
        <v>361</v>
      </c>
      <c r="AG30" s="2" t="s">
        <v>169</v>
      </c>
      <c r="AH30">
        <f t="shared" si="3"/>
        <v>0</v>
      </c>
      <c r="AI30">
        <f t="shared" si="4"/>
        <v>267715</v>
      </c>
      <c r="AO30" s="2" t="s">
        <v>169</v>
      </c>
      <c r="AQ30">
        <f t="shared" si="5"/>
        <v>267715</v>
      </c>
    </row>
    <row r="31" spans="1:43" x14ac:dyDescent="0.2">
      <c r="E31" s="2" t="s">
        <v>171</v>
      </c>
      <c r="F31">
        <v>23118</v>
      </c>
      <c r="G31">
        <v>1945</v>
      </c>
      <c r="N31" s="2" t="s">
        <v>171</v>
      </c>
      <c r="O31">
        <v>0</v>
      </c>
      <c r="P31">
        <v>193</v>
      </c>
      <c r="V31" s="2" t="s">
        <v>171</v>
      </c>
      <c r="W31">
        <v>0</v>
      </c>
      <c r="X31">
        <v>0</v>
      </c>
      <c r="AG31" s="2" t="s">
        <v>171</v>
      </c>
      <c r="AH31">
        <f t="shared" si="3"/>
        <v>1945</v>
      </c>
      <c r="AI31">
        <f t="shared" si="4"/>
        <v>23311</v>
      </c>
      <c r="AO31" s="2" t="s">
        <v>171</v>
      </c>
      <c r="AQ31">
        <f t="shared" si="5"/>
        <v>25256</v>
      </c>
    </row>
    <row r="32" spans="1:43" x14ac:dyDescent="0.2">
      <c r="E32" s="2" t="s">
        <v>174</v>
      </c>
      <c r="F32">
        <v>24220912</v>
      </c>
      <c r="G32">
        <v>0</v>
      </c>
      <c r="N32" s="2" t="s">
        <v>174</v>
      </c>
      <c r="O32">
        <v>0</v>
      </c>
      <c r="P32">
        <v>1383814</v>
      </c>
      <c r="V32" s="2" t="s">
        <v>174</v>
      </c>
      <c r="W32">
        <v>0</v>
      </c>
      <c r="X32">
        <v>91113</v>
      </c>
      <c r="AG32" s="2" t="s">
        <v>174</v>
      </c>
      <c r="AH32">
        <f t="shared" si="3"/>
        <v>0</v>
      </c>
      <c r="AI32">
        <f>F32+P32+X32</f>
        <v>25695839</v>
      </c>
      <c r="AO32" s="2" t="s">
        <v>174</v>
      </c>
      <c r="AQ32">
        <f t="shared" si="5"/>
        <v>25695839</v>
      </c>
    </row>
    <row r="35" spans="1:46" x14ac:dyDescent="0.2">
      <c r="B35" t="s">
        <v>236</v>
      </c>
      <c r="C35">
        <f>SUM(B4:C29)</f>
        <v>263581988</v>
      </c>
      <c r="E35" s="2" t="s">
        <v>236</v>
      </c>
      <c r="F35">
        <f>SUM(F4:G32)</f>
        <v>579025315</v>
      </c>
      <c r="J35" t="s">
        <v>236</v>
      </c>
      <c r="K35">
        <f>SUM(K4:L29)</f>
        <v>5407104</v>
      </c>
      <c r="N35" s="2" t="s">
        <v>236</v>
      </c>
      <c r="O35">
        <f>SUM(O4:P32)</f>
        <v>53005047</v>
      </c>
      <c r="AB35" t="s">
        <v>236</v>
      </c>
      <c r="AC35">
        <f>SUM(AC4:AD29)</f>
        <v>269275575</v>
      </c>
      <c r="AG35" s="2" t="s">
        <v>236</v>
      </c>
      <c r="AH35">
        <f>SUM(AH4:AI32)</f>
        <v>634412882</v>
      </c>
      <c r="AO35" s="2" t="s">
        <v>236</v>
      </c>
      <c r="AP35">
        <f>SUM(AQ4:AQ32)</f>
        <v>634412882</v>
      </c>
      <c r="AS35" s="1"/>
      <c r="AT35" s="1" t="s">
        <v>240</v>
      </c>
    </row>
    <row r="36" spans="1:46" x14ac:dyDescent="0.2">
      <c r="B36" t="s">
        <v>235</v>
      </c>
      <c r="C36">
        <f>C35/26</f>
        <v>10137768.76923077</v>
      </c>
      <c r="E36" s="2" t="s">
        <v>235</v>
      </c>
      <c r="F36">
        <f>F35/29</f>
        <v>19966390.172413792</v>
      </c>
      <c r="J36" t="s">
        <v>235</v>
      </c>
      <c r="K36">
        <f>K35/26</f>
        <v>207965.53846153847</v>
      </c>
      <c r="N36" s="2" t="s">
        <v>235</v>
      </c>
      <c r="O36">
        <f>O35/29</f>
        <v>1827760.2413793104</v>
      </c>
      <c r="AB36" t="s">
        <v>235</v>
      </c>
      <c r="AC36">
        <f>AC35/26</f>
        <v>10356752.884615384</v>
      </c>
      <c r="AG36" s="2" t="s">
        <v>235</v>
      </c>
      <c r="AH36">
        <f>AH35/29</f>
        <v>21876306.275862068</v>
      </c>
      <c r="AO36" s="2" t="s">
        <v>235</v>
      </c>
      <c r="AP36">
        <f>AP35/29</f>
        <v>21876306.275862068</v>
      </c>
      <c r="AS36" s="1" t="s">
        <v>222</v>
      </c>
      <c r="AT36" s="1">
        <f>(O36/AC36)*100</f>
        <v>17.648004753443409</v>
      </c>
    </row>
    <row r="37" spans="1:46" x14ac:dyDescent="0.2">
      <c r="AS37" s="1" t="s">
        <v>225</v>
      </c>
      <c r="AT37" s="1">
        <f>(O36/AH36)*100</f>
        <v>8.354976467832822</v>
      </c>
    </row>
    <row r="38" spans="1:46" x14ac:dyDescent="0.2">
      <c r="A38" t="s">
        <v>47</v>
      </c>
      <c r="B38">
        <v>1734</v>
      </c>
      <c r="C38">
        <v>2462260</v>
      </c>
      <c r="E38" s="2" t="s">
        <v>161</v>
      </c>
      <c r="F38">
        <v>11783734</v>
      </c>
      <c r="G38">
        <v>116947</v>
      </c>
      <c r="J38" t="s">
        <v>47</v>
      </c>
      <c r="K38">
        <v>0</v>
      </c>
      <c r="L38">
        <v>5019</v>
      </c>
      <c r="N38" s="2" t="s">
        <v>161</v>
      </c>
      <c r="O38">
        <v>0</v>
      </c>
      <c r="P38">
        <v>6450</v>
      </c>
      <c r="R38" t="s">
        <v>47</v>
      </c>
      <c r="S38">
        <v>0</v>
      </c>
      <c r="T38">
        <v>24451</v>
      </c>
      <c r="V38" s="2" t="s">
        <v>161</v>
      </c>
      <c r="W38">
        <v>0</v>
      </c>
      <c r="X38">
        <v>170482406</v>
      </c>
      <c r="AB38" t="s">
        <v>47</v>
      </c>
      <c r="AC38">
        <f>C37+K37+S38</f>
        <v>0</v>
      </c>
      <c r="AD38">
        <f>B37+L37+T38</f>
        <v>24451</v>
      </c>
      <c r="AG38" s="2" t="s">
        <v>161</v>
      </c>
      <c r="AH38">
        <f>G38+O38+W38</f>
        <v>116947</v>
      </c>
      <c r="AI38">
        <f t="shared" si="4"/>
        <v>182272590</v>
      </c>
      <c r="AL38" t="s">
        <v>47</v>
      </c>
      <c r="AM38">
        <f t="shared" ref="AM38:AM41" si="6">AC38+AD38</f>
        <v>24451</v>
      </c>
      <c r="AO38" s="2" t="s">
        <v>161</v>
      </c>
      <c r="AQ38">
        <f t="shared" si="5"/>
        <v>182389537</v>
      </c>
    </row>
    <row r="39" spans="1:46" x14ac:dyDescent="0.2">
      <c r="A39" t="s">
        <v>63</v>
      </c>
      <c r="B39">
        <v>77313</v>
      </c>
      <c r="C39">
        <v>113753211</v>
      </c>
      <c r="J39" t="s">
        <v>63</v>
      </c>
      <c r="K39">
        <v>0</v>
      </c>
      <c r="L39">
        <v>77308</v>
      </c>
      <c r="R39" t="s">
        <v>63</v>
      </c>
      <c r="S39">
        <v>0</v>
      </c>
      <c r="T39">
        <v>0</v>
      </c>
      <c r="AB39" t="s">
        <v>63</v>
      </c>
      <c r="AC39">
        <f>C38+K38+S39</f>
        <v>2462260</v>
      </c>
      <c r="AD39">
        <f>B38+L38+T39</f>
        <v>6753</v>
      </c>
      <c r="AL39" t="s">
        <v>63</v>
      </c>
      <c r="AM39">
        <f t="shared" si="6"/>
        <v>2469013</v>
      </c>
    </row>
    <row r="40" spans="1:46" x14ac:dyDescent="0.2">
      <c r="A40" t="s">
        <v>42</v>
      </c>
      <c r="B40">
        <v>0</v>
      </c>
      <c r="C40">
        <v>225921666</v>
      </c>
      <c r="J40" t="s">
        <v>42</v>
      </c>
      <c r="K40">
        <v>0</v>
      </c>
      <c r="L40">
        <v>0</v>
      </c>
      <c r="R40" t="s">
        <v>42</v>
      </c>
      <c r="S40">
        <v>0</v>
      </c>
      <c r="T40">
        <v>0</v>
      </c>
      <c r="AB40" t="s">
        <v>42</v>
      </c>
      <c r="AC40">
        <f>C39+K39+S40</f>
        <v>113753211</v>
      </c>
      <c r="AD40">
        <f>B39+L39+T40</f>
        <v>154621</v>
      </c>
      <c r="AL40" t="s">
        <v>42</v>
      </c>
      <c r="AM40">
        <f t="shared" si="6"/>
        <v>113907832</v>
      </c>
    </row>
    <row r="41" spans="1:46" x14ac:dyDescent="0.2">
      <c r="A41" t="s">
        <v>46</v>
      </c>
      <c r="B41">
        <v>0</v>
      </c>
      <c r="C41">
        <v>654141210</v>
      </c>
      <c r="J41" t="s">
        <v>46</v>
      </c>
      <c r="K41">
        <v>0</v>
      </c>
      <c r="L41">
        <v>0</v>
      </c>
      <c r="R41" t="s">
        <v>46</v>
      </c>
      <c r="S41">
        <v>0</v>
      </c>
      <c r="T41">
        <v>0</v>
      </c>
      <c r="AB41" t="s">
        <v>46</v>
      </c>
      <c r="AC41">
        <f>C40+K40+S41</f>
        <v>225921666</v>
      </c>
      <c r="AD41">
        <f>B40+L40+T41</f>
        <v>0</v>
      </c>
      <c r="AL41" t="s">
        <v>46</v>
      </c>
      <c r="AM41">
        <f t="shared" si="6"/>
        <v>225921666</v>
      </c>
    </row>
    <row r="44" spans="1:46" x14ac:dyDescent="0.2">
      <c r="AL44" s="1" t="s">
        <v>234</v>
      </c>
      <c r="AM44" s="1">
        <f>SUM(AM4:AM41)</f>
        <v>611598537</v>
      </c>
      <c r="AN44" s="1"/>
      <c r="AO44" s="1"/>
      <c r="AP44" s="1" t="s">
        <v>236</v>
      </c>
      <c r="AQ44" s="1">
        <f>SUM(AQ4:AQ32)</f>
        <v>634412882</v>
      </c>
      <c r="AS44" s="1" t="s">
        <v>237</v>
      </c>
      <c r="AT44" s="1"/>
    </row>
    <row r="45" spans="1:46" x14ac:dyDescent="0.2">
      <c r="AL45" s="1" t="s">
        <v>235</v>
      </c>
      <c r="AM45" s="1">
        <f>AM44/30</f>
        <v>20386617.899999999</v>
      </c>
      <c r="AN45" s="1"/>
      <c r="AO45" s="1"/>
      <c r="AP45" s="1" t="s">
        <v>235</v>
      </c>
      <c r="AQ45" s="1">
        <f>AQ44/30</f>
        <v>21147096.066666666</v>
      </c>
      <c r="AS45" s="1">
        <f>AQ45/AM45</f>
        <v>1.0373028115991063</v>
      </c>
      <c r="AT45" s="1" t="s">
        <v>238</v>
      </c>
    </row>
    <row r="48" spans="1:46" x14ac:dyDescent="0.2">
      <c r="AL48" s="3" t="s">
        <v>236</v>
      </c>
      <c r="AM48" s="3">
        <f>SUM(AM4:AM29)</f>
        <v>269275575</v>
      </c>
      <c r="AN48" s="3"/>
      <c r="AO48" s="3"/>
      <c r="AP48" s="3" t="s">
        <v>236</v>
      </c>
      <c r="AQ48" s="3">
        <f>AQ44</f>
        <v>634412882</v>
      </c>
      <c r="AR48" s="3"/>
      <c r="AS48" s="3" t="s">
        <v>237</v>
      </c>
      <c r="AT48" s="3"/>
    </row>
    <row r="49" spans="38:46" x14ac:dyDescent="0.2">
      <c r="AL49" s="3" t="s">
        <v>235</v>
      </c>
      <c r="AM49" s="3">
        <f>AM48/26</f>
        <v>10356752.884615384</v>
      </c>
      <c r="AN49" s="3"/>
      <c r="AO49" s="3"/>
      <c r="AP49" s="3" t="s">
        <v>235</v>
      </c>
      <c r="AQ49" s="3">
        <f>AQ45</f>
        <v>21147096.066666666</v>
      </c>
      <c r="AR49" s="3"/>
      <c r="AS49" s="3">
        <f>AQ49/AM49</f>
        <v>2.041865467127248</v>
      </c>
      <c r="AT49" s="3" t="s">
        <v>239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nongames_summary</vt:lpstr>
      <vt:lpstr>games_summary</vt:lpstr>
      <vt:lpstr>Sheet1</vt:lpstr>
      <vt:lpstr>games_summary!game_summary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2019-04-04T21:50:47Z</dcterms:created>
  <dcterms:modified xsi:type="dcterms:W3CDTF">2019-04-06T21:15:20Z</dcterms:modified>
</cp:coreProperties>
</file>